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CRA Evidence Matrix" sheetId="4" state="visible" r:id="rId4"/>
    <sheet xmlns:r="http://schemas.openxmlformats.org/officeDocument/2006/relationships" name="Readiness" sheetId="5" state="visible" r:id="rId5"/>
  </sheets>
  <definedNames>
    <definedName name="_xlnm._FilterDatabase" localSheetId="1" hidden="1">'Products'!$A$1:$M$2</definedName>
    <definedName name="_xlnm._FilterDatabase" localSheetId="2" hidden="1">'Risk Register'!$A$1:$V$101</definedName>
    <definedName name="_xlnm._FilterDatabase" localSheetId="3" hidden="1">'CRA Evidence Matrix'!$A$1:$K$15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;[Red](€#,##0);-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color rgb="004D5962"/>
      <sz val="10"/>
    </font>
    <font>
      <color rgb="001457A4"/>
      <sz val="10"/>
    </font>
    <font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833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0CB"/>
        </patternFill>
      </fill>
    </dxf>
    <dxf>
      <fill>
        <patternFill patternType="solid">
          <fgColor rgb="00E4F1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4" customHeight="1">
      <c r="A1" s="1" t="inlineStr">
        <is>
          <t>CRA-SME Toolkit v1.0 | Risk &amp; Evidence Workbook</t>
        </is>
      </c>
      <c r="B1" s="1" t="n"/>
    </row>
    <row r="2" ht="43" customHeight="1">
      <c r="A2" s="2" t="inlineStr">
        <is>
          <t>Release</t>
        </is>
      </c>
      <c r="B2" s="2" t="inlineStr">
        <is>
          <t>1.0 | 17 October 2026</t>
        </is>
      </c>
    </row>
    <row r="3" ht="43" customHeight="1">
      <c r="A3" s="2" t="inlineStr">
        <is>
          <t>Purpose</t>
        </is>
      </c>
      <c r="B3" s="2" t="inlineStr">
        <is>
          <t>Adaptable product-level readiness and prioritisation model; NOT proof of legal conformity</t>
        </is>
      </c>
    </row>
    <row r="4" ht="43" customHeight="1">
      <c r="A4" s="2" t="inlineStr">
        <is>
          <t>Instructions</t>
        </is>
      </c>
      <c r="B4" s="2" t="inlineStr">
        <is>
          <t>1 Enter product details; 2 add threats and use the 1-5 scales; 3 map controls; 4 add evidence; 5 complete applicability review.</t>
        </is>
      </c>
    </row>
    <row r="5" ht="43" customHeight="1">
      <c r="A5" s="2" t="inlineStr">
        <is>
          <t>Method</t>
        </is>
      </c>
      <c r="B5" s="2" t="inlineStr">
        <is>
          <t>Inherent = likelihood x impact x exposure; residual = inherent x (1 - verified control effectiveness).</t>
        </is>
      </c>
    </row>
    <row r="6" ht="43" customHeight="1">
      <c r="A6" s="2" t="inlineStr">
        <is>
          <t>Caution</t>
        </is>
      </c>
      <c r="B6" s="2" t="inlineStr">
        <is>
          <t>Numerical bands and control effectiveness are INTERNAL assumptions, not legal CRA criteria.</t>
        </is>
      </c>
    </row>
    <row r="7" ht="43" customHeight="1">
      <c r="A7" s="2" t="inlineStr">
        <is>
          <t>Scoring bands</t>
        </is>
      </c>
      <c r="B7" s="2" t="inlineStr">
        <is>
          <t>Low 1-14; Medium 15-39; High 40-74; Critical 75-125. Never use score to waive an essential requirement.</t>
        </is>
      </c>
    </row>
    <row r="8" ht="43" customHeight="1">
      <c r="A8" s="2" t="inlineStr">
        <is>
          <t>Expected loss</t>
        </is>
      </c>
      <c r="B8" s="2" t="inlineStr">
        <is>
          <t>ALE = annual event probability x incident impact in EUR; reduced ALE uses residual probability.</t>
        </is>
      </c>
    </row>
    <row r="9" ht="43" customHeight="1">
      <c r="A9" s="2" t="inlineStr">
        <is>
          <t>EU CRA legal text</t>
        </is>
      </c>
      <c r="B9" s="2" t="inlineStr">
        <is>
          <t>https://eur-lex.europa.eu/eli/reg/2024/2847/oj/eng</t>
        </is>
      </c>
    </row>
    <row r="10" ht="43" customHeight="1">
      <c r="A10" s="2" t="inlineStr">
        <is>
          <t>European Commission</t>
        </is>
      </c>
      <c r="B10" s="2" t="inlineStr">
        <is>
          <t>https://digital-strategy.ec.europa.eu/en/policies/cra-summary</t>
        </is>
      </c>
    </row>
    <row r="11" ht="43" customHeight="1">
      <c r="A11" s="2" t="inlineStr">
        <is>
          <t>Reporting guidance</t>
        </is>
      </c>
      <c r="B11" s="2" t="inlineStr">
        <is>
          <t>https://digital-strategy.ec.europa.eu/en/policies/cra-reporting</t>
        </is>
      </c>
    </row>
    <row r="12" ht="31" customHeight="1">
      <c r="A12" s="2" t="inlineStr">
        <is>
          <t>Timeline</t>
        </is>
      </c>
      <c r="B12" s="2" t="inlineStr">
        <is>
          <t>Article 14 reporting since 11 Sep 2026; main requirements 11 Dec 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7" customWidth="1" min="4" max="4"/>
    <col width="22" customWidth="1" min="5" max="5"/>
    <col width="14" customWidth="1" min="6" max="6"/>
    <col width="30" customWidth="1" min="7" max="7"/>
    <col width="28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</cols>
  <sheetData>
    <row r="1" ht="34" customHeight="1">
      <c r="A1" s="1" t="inlineStr">
        <is>
          <t>Product 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Type / intended purpose</t>
        </is>
      </c>
      <c r="E1" s="1" t="inlineStr">
        <is>
          <t>Manufacturer / role</t>
        </is>
      </c>
      <c r="F1" s="1" t="inlineStr">
        <is>
          <t>EU market?</t>
        </is>
      </c>
      <c r="G1" s="1" t="inlineStr">
        <is>
          <t>Annex III/IV class (verify)</t>
        </is>
      </c>
      <c r="H1" s="1" t="inlineStr">
        <is>
          <t>Conformity route (verify)</t>
        </is>
      </c>
      <c r="I1" s="1" t="inlineStr">
        <is>
          <t>Support start</t>
        </is>
      </c>
      <c r="J1" s="1" t="inlineStr">
        <is>
          <t>Support end</t>
        </is>
      </c>
      <c r="K1" s="1" t="inlineStr">
        <is>
          <t>Owner</t>
        </is>
      </c>
      <c r="L1" s="1" t="inlineStr">
        <is>
          <t>Evidence link</t>
        </is>
      </c>
      <c r="M1" s="1" t="inlineStr">
        <is>
          <t>Status</t>
        </is>
      </c>
    </row>
    <row r="2" ht="31" customHeight="1">
      <c r="A2" s="3" t="inlineStr">
        <is>
          <t>DEMO-001</t>
        </is>
      </c>
      <c r="B2" s="3" t="inlineStr">
        <is>
          <t>Connected sensor gateway</t>
        </is>
      </c>
      <c r="C2" s="3" t="inlineStr">
        <is>
          <t>1.0</t>
        </is>
      </c>
      <c r="D2" s="3" t="inlineStr">
        <is>
          <t>IoT gateway demonstrator</t>
        </is>
      </c>
      <c r="E2" s="3" t="inlineStr">
        <is>
          <t>Manufacturer</t>
        </is>
      </c>
      <c r="F2" s="3" t="inlineStr">
        <is>
          <t>Yes</t>
        </is>
      </c>
      <c r="G2" s="3" t="inlineStr">
        <is>
          <t>To verify</t>
        </is>
      </c>
      <c r="H2" s="3" t="inlineStr">
        <is>
          <t>To verify</t>
        </is>
      </c>
      <c r="I2" s="3" t="inlineStr"/>
      <c r="J2" s="3" t="inlineStr"/>
      <c r="K2" s="3" t="inlineStr">
        <is>
          <t>Security lead</t>
        </is>
      </c>
      <c r="L2" s="3" t="inlineStr">
        <is>
          <t>evidence/</t>
        </is>
      </c>
      <c r="M2" s="3" t="inlineStr">
        <is>
          <t>Draft - EXAMPLE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8" customWidth="1" min="4" max="4"/>
    <col width="17" customWidth="1" min="5" max="5"/>
    <col width="14" customWidth="1" min="6" max="6"/>
    <col width="15" customWidth="1" min="7" max="7"/>
    <col width="17" customWidth="1" min="8" max="8"/>
    <col width="15" customWidth="1" min="9" max="9"/>
    <col width="39" customWidth="1" min="10" max="10"/>
    <col width="29" customWidth="1" min="11" max="11"/>
    <col width="17" customWidth="1" min="12" max="12"/>
    <col width="16" customWidth="1" min="13" max="13"/>
    <col width="25" customWidth="1" min="14" max="14"/>
    <col width="24" customWidth="1" min="15" max="15"/>
    <col width="19" customWidth="1" min="16" max="16"/>
    <col width="30" customWidth="1" min="17" max="17"/>
    <col width="19" customWidth="1" min="18" max="18"/>
    <col width="25" customWidth="1" min="19" max="19"/>
    <col width="16" customWidth="1" min="20" max="20"/>
    <col width="21" customWidth="1" min="21" max="21"/>
    <col width="39" customWidth="1" min="22" max="22"/>
  </cols>
  <sheetData>
    <row r="1" ht="34" customHeight="1">
      <c r="A1" s="1" t="inlineStr">
        <is>
          <t>Risk ID</t>
        </is>
      </c>
      <c r="B1" s="1" t="inlineStr">
        <is>
          <t>Product ID</t>
        </is>
      </c>
      <c r="C1" s="1" t="inlineStr">
        <is>
          <t>Threat / attack path</t>
        </is>
      </c>
      <c r="D1" s="1" t="inlineStr">
        <is>
          <t>Affected asset</t>
        </is>
      </c>
      <c r="E1" s="1" t="inlineStr">
        <is>
          <t>Likelihood 1-5</t>
        </is>
      </c>
      <c r="F1" s="1" t="inlineStr">
        <is>
          <t>Impact 1-5</t>
        </is>
      </c>
      <c r="G1" s="1" t="inlineStr">
        <is>
          <t>Exposure 1-5</t>
        </is>
      </c>
      <c r="H1" s="1" t="inlineStr">
        <is>
          <t>Inherent score</t>
        </is>
      </c>
      <c r="I1" s="1" t="inlineStr">
        <is>
          <t>Risk band</t>
        </is>
      </c>
      <c r="J1" s="1" t="inlineStr">
        <is>
          <t>Control action</t>
        </is>
      </c>
      <c r="K1" s="1" t="inlineStr">
        <is>
          <t>Verified effectiveness 0-1</t>
        </is>
      </c>
      <c r="L1" s="1" t="inlineStr">
        <is>
          <t>Residual score</t>
        </is>
      </c>
      <c r="M1" s="1" t="inlineStr">
        <is>
          <t>Residual band</t>
        </is>
      </c>
      <c r="N1" s="1" t="inlineStr">
        <is>
          <t>Annual probability 0-1</t>
        </is>
      </c>
      <c r="O1" s="1" t="inlineStr">
        <is>
          <t>Loss per incident EUR</t>
        </is>
      </c>
      <c r="P1" s="1" t="inlineStr">
        <is>
          <t>Inherent ALE EUR</t>
        </is>
      </c>
      <c r="Q1" s="1" t="inlineStr">
        <is>
          <t>Residual annual probability</t>
        </is>
      </c>
      <c r="R1" s="1" t="inlineStr">
        <is>
          <t>Residual ALE EUR</t>
        </is>
      </c>
      <c r="S1" s="1" t="inlineStr">
        <is>
          <t>Expected reduction EUR</t>
        </is>
      </c>
      <c r="T1" s="1" t="inlineStr">
        <is>
          <t>Owner</t>
        </is>
      </c>
      <c r="U1" s="1" t="inlineStr">
        <is>
          <t>Treatment / status</t>
        </is>
      </c>
      <c r="V1" s="1" t="inlineStr">
        <is>
          <t>Evidence / test URL</t>
        </is>
      </c>
    </row>
    <row r="2" ht="31" customHeight="1">
      <c r="A2" s="3" t="inlineStr">
        <is>
          <t>DEMO-R01</t>
        </is>
      </c>
      <c r="B2" s="3" t="inlineStr">
        <is>
          <t>DEMO-001</t>
        </is>
      </c>
      <c r="C2" s="3" t="inlineStr">
        <is>
          <t>Unauthenticated management endpoint</t>
        </is>
      </c>
      <c r="D2" s="3" t="inlineStr">
        <is>
          <t>Configuration</t>
        </is>
      </c>
      <c r="E2" s="3" t="n">
        <v>4</v>
      </c>
      <c r="F2" s="3" t="n">
        <v>5</v>
      </c>
      <c r="G2" s="3" t="n">
        <v>4</v>
      </c>
      <c r="H2" s="4">
        <f>IF(COUNTA(E2:G2)&lt;3,"",E2*F2*G2)</f>
        <v/>
      </c>
      <c r="I2" s="4">
        <f>IF(H2="","",IF(H2&gt;=75,"Critical",IF(H2&gt;=40,"High",IF(H2&gt;=15,"Medium","Low"))))</f>
        <v/>
      </c>
      <c r="J2" s="3" t="inlineStr">
        <is>
          <t>Require auth; integration tests</t>
        </is>
      </c>
      <c r="K2" s="5" t="n">
        <v>0.5</v>
      </c>
      <c r="L2" s="4">
        <f>IF(OR(H2="",K2=""),"",ROUND(H2*(1-K2),0))</f>
        <v/>
      </c>
      <c r="M2" s="4">
        <f>IF(L2="","",IF(L2&gt;=75,"Critical",IF(L2&gt;=40,"High",IF(L2&gt;=15,"Medium","Low"))))</f>
        <v/>
      </c>
      <c r="N2" s="5" t="n">
        <v>0.2</v>
      </c>
      <c r="O2" s="6" t="n">
        <v>150000</v>
      </c>
      <c r="P2" s="7">
        <f>IF(OR(N2="",O2=""),"",N2*O2)</f>
        <v/>
      </c>
      <c r="Q2" s="8">
        <f>IF(OR(N2="",K2=""),"",N2*(1-K2))</f>
        <v/>
      </c>
      <c r="R2" s="7">
        <f>IF(OR(Q2="",O2=""),"",Q2*O2)</f>
        <v/>
      </c>
      <c r="S2" s="7">
        <f>IF(OR(P2="",R2=""),"",P2-R2)</f>
        <v/>
      </c>
      <c r="T2" s="3" t="inlineStr">
        <is>
          <t>Security lead</t>
        </is>
      </c>
      <c r="U2" s="3" t="inlineStr">
        <is>
          <t>OPEN</t>
        </is>
      </c>
      <c r="V2" s="3" t="inlineStr">
        <is>
          <t>examples/test-evidence-placeholder.md</t>
        </is>
      </c>
    </row>
    <row r="3" ht="31" customHeight="1">
      <c r="A3" s="3" t="inlineStr">
        <is>
          <t>DEMO-R02</t>
        </is>
      </c>
      <c r="B3" s="3" t="inlineStr">
        <is>
          <t>DEMO-001</t>
        </is>
      </c>
      <c r="C3" s="3" t="inlineStr">
        <is>
          <t>Outdated dependency exploited</t>
        </is>
      </c>
      <c r="D3" s="3" t="inlineStr">
        <is>
          <t>Gateway runtime</t>
        </is>
      </c>
      <c r="E3" s="3" t="n">
        <v>3</v>
      </c>
      <c r="F3" s="3" t="n">
        <v>4</v>
      </c>
      <c r="G3" s="3" t="n">
        <v>4</v>
      </c>
      <c r="H3" s="4">
        <f>IF(COUNTA(E3:G3)&lt;3,"",E3*F3*G3)</f>
        <v/>
      </c>
      <c r="I3" s="4">
        <f>IF(H3="","",IF(H3&gt;=75,"Critical",IF(H3&gt;=40,"High",IF(H3&gt;=15,"Medium","Low"))))</f>
        <v/>
      </c>
      <c r="J3" s="3" t="inlineStr">
        <is>
          <t>SBOM, SCA and patch</t>
        </is>
      </c>
      <c r="K3" s="5" t="n">
        <v>0.4</v>
      </c>
      <c r="L3" s="4">
        <f>IF(OR(H3="",K3=""),"",ROUND(H3*(1-K3),0))</f>
        <v/>
      </c>
      <c r="M3" s="4">
        <f>IF(L3="","",IF(L3&gt;=75,"Critical",IF(L3&gt;=40,"High",IF(L3&gt;=15,"Medium","Low"))))</f>
        <v/>
      </c>
      <c r="N3" s="5" t="n">
        <v>0.1</v>
      </c>
      <c r="O3" s="6" t="n">
        <v>80000</v>
      </c>
      <c r="P3" s="7">
        <f>IF(OR(N3="",O3=""),"",N3*O3)</f>
        <v/>
      </c>
      <c r="Q3" s="8">
        <f>IF(OR(N3="",K3=""),"",N3*(1-K3))</f>
        <v/>
      </c>
      <c r="R3" s="7">
        <f>IF(OR(Q3="",O3=""),"",Q3*O3)</f>
        <v/>
      </c>
      <c r="S3" s="7">
        <f>IF(OR(P3="",R3=""),"",P3-R3)</f>
        <v/>
      </c>
      <c r="T3" s="3" t="inlineStr">
        <is>
          <t>Dev lead</t>
        </is>
      </c>
      <c r="U3" s="3" t="inlineStr">
        <is>
          <t>OPEN</t>
        </is>
      </c>
      <c r="V3" s="3" t="inlineStr">
        <is>
          <t>examples/test-evidence-placeholder.md</t>
        </is>
      </c>
    </row>
    <row r="4" ht="31" customHeight="1">
      <c r="A4" s="9" t="n"/>
      <c r="B4" s="9" t="n"/>
      <c r="C4" s="9" t="n"/>
      <c r="D4" s="9" t="n"/>
      <c r="E4" s="9" t="n"/>
      <c r="F4" s="9" t="n"/>
      <c r="G4" s="9" t="n"/>
      <c r="H4" s="4">
        <f>IF(COUNTA(E4:G4)&lt;3,"",E4*F4*G4)</f>
        <v/>
      </c>
      <c r="I4" s="4">
        <f>IF(H4="","",IF(H4&gt;=75,"Critical",IF(H4&gt;=40,"High",IF(H4&gt;=15,"Medium","Low"))))</f>
        <v/>
      </c>
      <c r="J4" s="9" t="n"/>
      <c r="K4" s="10" t="n"/>
      <c r="L4" s="4">
        <f>IF(OR(H4="",K4=""),"",ROUND(H4*(1-K4),0))</f>
        <v/>
      </c>
      <c r="M4" s="4">
        <f>IF(L4="","",IF(L4&gt;=75,"Critical",IF(L4&gt;=40,"High",IF(L4&gt;=15,"Medium","Low"))))</f>
        <v/>
      </c>
      <c r="N4" s="10" t="n"/>
      <c r="O4" s="11" t="n"/>
      <c r="P4" s="7">
        <f>IF(OR(N4="",O4=""),"",N4*O4)</f>
        <v/>
      </c>
      <c r="Q4" s="8">
        <f>IF(OR(N4="",K4=""),"",N4*(1-K4))</f>
        <v/>
      </c>
      <c r="R4" s="7">
        <f>IF(OR(Q4="",O4=""),"",Q4*O4)</f>
        <v/>
      </c>
      <c r="S4" s="7">
        <f>IF(OR(P4="",R4=""),"",P4-R4)</f>
        <v/>
      </c>
      <c r="T4" s="9" t="n"/>
      <c r="U4" s="9" t="n"/>
      <c r="V4" s="9" t="n"/>
    </row>
    <row r="5" ht="31" customHeight="1">
      <c r="A5" s="9" t="n"/>
      <c r="B5" s="9" t="n"/>
      <c r="C5" s="9" t="n"/>
      <c r="D5" s="9" t="n"/>
      <c r="E5" s="9" t="n"/>
      <c r="F5" s="9" t="n"/>
      <c r="G5" s="9" t="n"/>
      <c r="H5" s="4">
        <f>IF(COUNTA(E5:G5)&lt;3,"",E5*F5*G5)</f>
        <v/>
      </c>
      <c r="I5" s="4">
        <f>IF(H5="","",IF(H5&gt;=75,"Critical",IF(H5&gt;=40,"High",IF(H5&gt;=15,"Medium","Low"))))</f>
        <v/>
      </c>
      <c r="J5" s="9" t="n"/>
      <c r="K5" s="10" t="n"/>
      <c r="L5" s="4">
        <f>IF(OR(H5="",K5=""),"",ROUND(H5*(1-K5),0))</f>
        <v/>
      </c>
      <c r="M5" s="4">
        <f>IF(L5="","",IF(L5&gt;=75,"Critical",IF(L5&gt;=40,"High",IF(L5&gt;=15,"Medium","Low"))))</f>
        <v/>
      </c>
      <c r="N5" s="10" t="n"/>
      <c r="O5" s="11" t="n"/>
      <c r="P5" s="7">
        <f>IF(OR(N5="",O5=""),"",N5*O5)</f>
        <v/>
      </c>
      <c r="Q5" s="8">
        <f>IF(OR(N5="",K5=""),"",N5*(1-K5))</f>
        <v/>
      </c>
      <c r="R5" s="7">
        <f>IF(OR(Q5="",O5=""),"",Q5*O5)</f>
        <v/>
      </c>
      <c r="S5" s="7">
        <f>IF(OR(P5="",R5=""),"",P5-R5)</f>
        <v/>
      </c>
      <c r="T5" s="9" t="n"/>
      <c r="U5" s="9" t="n"/>
      <c r="V5" s="9" t="n"/>
    </row>
    <row r="6" ht="31" customHeight="1">
      <c r="A6" s="9" t="n"/>
      <c r="B6" s="9" t="n"/>
      <c r="C6" s="9" t="n"/>
      <c r="D6" s="9" t="n"/>
      <c r="E6" s="9" t="n"/>
      <c r="F6" s="9" t="n"/>
      <c r="G6" s="9" t="n"/>
      <c r="H6" s="4">
        <f>IF(COUNTA(E6:G6)&lt;3,"",E6*F6*G6)</f>
        <v/>
      </c>
      <c r="I6" s="4">
        <f>IF(H6="","",IF(H6&gt;=75,"Critical",IF(H6&gt;=40,"High",IF(H6&gt;=15,"Medium","Low"))))</f>
        <v/>
      </c>
      <c r="J6" s="9" t="n"/>
      <c r="K6" s="10" t="n"/>
      <c r="L6" s="4">
        <f>IF(OR(H6="",K6=""),"",ROUND(H6*(1-K6),0))</f>
        <v/>
      </c>
      <c r="M6" s="4">
        <f>IF(L6="","",IF(L6&gt;=75,"Critical",IF(L6&gt;=40,"High",IF(L6&gt;=15,"Medium","Low"))))</f>
        <v/>
      </c>
      <c r="N6" s="10" t="n"/>
      <c r="O6" s="11" t="n"/>
      <c r="P6" s="7">
        <f>IF(OR(N6="",O6=""),"",N6*O6)</f>
        <v/>
      </c>
      <c r="Q6" s="8">
        <f>IF(OR(N6="",K6=""),"",N6*(1-K6))</f>
        <v/>
      </c>
      <c r="R6" s="7">
        <f>IF(OR(Q6="",O6=""),"",Q6*O6)</f>
        <v/>
      </c>
      <c r="S6" s="7">
        <f>IF(OR(P6="",R6=""),"",P6-R6)</f>
        <v/>
      </c>
      <c r="T6" s="9" t="n"/>
      <c r="U6" s="9" t="n"/>
      <c r="V6" s="9" t="n"/>
    </row>
    <row r="7" ht="31" customHeight="1">
      <c r="A7" s="9" t="n"/>
      <c r="B7" s="9" t="n"/>
      <c r="C7" s="9" t="n"/>
      <c r="D7" s="9" t="n"/>
      <c r="E7" s="9" t="n"/>
      <c r="F7" s="9" t="n"/>
      <c r="G7" s="9" t="n"/>
      <c r="H7" s="4">
        <f>IF(COUNTA(E7:G7)&lt;3,"",E7*F7*G7)</f>
        <v/>
      </c>
      <c r="I7" s="4">
        <f>IF(H7="","",IF(H7&gt;=75,"Critical",IF(H7&gt;=40,"High",IF(H7&gt;=15,"Medium","Low"))))</f>
        <v/>
      </c>
      <c r="J7" s="9" t="n"/>
      <c r="K7" s="10" t="n"/>
      <c r="L7" s="4">
        <f>IF(OR(H7="",K7=""),"",ROUND(H7*(1-K7),0))</f>
        <v/>
      </c>
      <c r="M7" s="4">
        <f>IF(L7="","",IF(L7&gt;=75,"Critical",IF(L7&gt;=40,"High",IF(L7&gt;=15,"Medium","Low"))))</f>
        <v/>
      </c>
      <c r="N7" s="10" t="n"/>
      <c r="O7" s="11" t="n"/>
      <c r="P7" s="7">
        <f>IF(OR(N7="",O7=""),"",N7*O7)</f>
        <v/>
      </c>
      <c r="Q7" s="8">
        <f>IF(OR(N7="",K7=""),"",N7*(1-K7))</f>
        <v/>
      </c>
      <c r="R7" s="7">
        <f>IF(OR(Q7="",O7=""),"",Q7*O7)</f>
        <v/>
      </c>
      <c r="S7" s="7">
        <f>IF(OR(P7="",R7=""),"",P7-R7)</f>
        <v/>
      </c>
      <c r="T7" s="9" t="n"/>
      <c r="U7" s="9" t="n"/>
      <c r="V7" s="9" t="n"/>
    </row>
    <row r="8" ht="31" customHeight="1">
      <c r="A8" s="9" t="n"/>
      <c r="B8" s="9" t="n"/>
      <c r="C8" s="9" t="n"/>
      <c r="D8" s="9" t="n"/>
      <c r="E8" s="9" t="n"/>
      <c r="F8" s="9" t="n"/>
      <c r="G8" s="9" t="n"/>
      <c r="H8" s="4">
        <f>IF(COUNTA(E8:G8)&lt;3,"",E8*F8*G8)</f>
        <v/>
      </c>
      <c r="I8" s="4">
        <f>IF(H8="","",IF(H8&gt;=75,"Critical",IF(H8&gt;=40,"High",IF(H8&gt;=15,"Medium","Low"))))</f>
        <v/>
      </c>
      <c r="J8" s="9" t="n"/>
      <c r="K8" s="10" t="n"/>
      <c r="L8" s="4">
        <f>IF(OR(H8="",K8=""),"",ROUND(H8*(1-K8),0))</f>
        <v/>
      </c>
      <c r="M8" s="4">
        <f>IF(L8="","",IF(L8&gt;=75,"Critical",IF(L8&gt;=40,"High",IF(L8&gt;=15,"Medium","Low"))))</f>
        <v/>
      </c>
      <c r="N8" s="10" t="n"/>
      <c r="O8" s="11" t="n"/>
      <c r="P8" s="7">
        <f>IF(OR(N8="",O8=""),"",N8*O8)</f>
        <v/>
      </c>
      <c r="Q8" s="8">
        <f>IF(OR(N8="",K8=""),"",N8*(1-K8))</f>
        <v/>
      </c>
      <c r="R8" s="7">
        <f>IF(OR(Q8="",O8=""),"",Q8*O8)</f>
        <v/>
      </c>
      <c r="S8" s="7">
        <f>IF(OR(P8="",R8=""),"",P8-R8)</f>
        <v/>
      </c>
      <c r="T8" s="9" t="n"/>
      <c r="U8" s="9" t="n"/>
      <c r="V8" s="9" t="n"/>
    </row>
    <row r="9" ht="31" customHeight="1">
      <c r="A9" s="9" t="n"/>
      <c r="B9" s="9" t="n"/>
      <c r="C9" s="9" t="n"/>
      <c r="D9" s="9" t="n"/>
      <c r="E9" s="9" t="n"/>
      <c r="F9" s="9" t="n"/>
      <c r="G9" s="9" t="n"/>
      <c r="H9" s="4">
        <f>IF(COUNTA(E9:G9)&lt;3,"",E9*F9*G9)</f>
        <v/>
      </c>
      <c r="I9" s="4">
        <f>IF(H9="","",IF(H9&gt;=75,"Critical",IF(H9&gt;=40,"High",IF(H9&gt;=15,"Medium","Low"))))</f>
        <v/>
      </c>
      <c r="J9" s="9" t="n"/>
      <c r="K9" s="10" t="n"/>
      <c r="L9" s="4">
        <f>IF(OR(H9="",K9=""),"",ROUND(H9*(1-K9),0))</f>
        <v/>
      </c>
      <c r="M9" s="4">
        <f>IF(L9="","",IF(L9&gt;=75,"Critical",IF(L9&gt;=40,"High",IF(L9&gt;=15,"Medium","Low"))))</f>
        <v/>
      </c>
      <c r="N9" s="10" t="n"/>
      <c r="O9" s="11" t="n"/>
      <c r="P9" s="7">
        <f>IF(OR(N9="",O9=""),"",N9*O9)</f>
        <v/>
      </c>
      <c r="Q9" s="8">
        <f>IF(OR(N9="",K9=""),"",N9*(1-K9))</f>
        <v/>
      </c>
      <c r="R9" s="7">
        <f>IF(OR(Q9="",O9=""),"",Q9*O9)</f>
        <v/>
      </c>
      <c r="S9" s="7">
        <f>IF(OR(P9="",R9=""),"",P9-R9)</f>
        <v/>
      </c>
      <c r="T9" s="9" t="n"/>
      <c r="U9" s="9" t="n"/>
      <c r="V9" s="9" t="n"/>
    </row>
    <row r="10" ht="31" customHeight="1">
      <c r="A10" s="9" t="n"/>
      <c r="B10" s="9" t="n"/>
      <c r="C10" s="9" t="n"/>
      <c r="D10" s="9" t="n"/>
      <c r="E10" s="9" t="n"/>
      <c r="F10" s="9" t="n"/>
      <c r="G10" s="9" t="n"/>
      <c r="H10" s="4">
        <f>IF(COUNTA(E10:G10)&lt;3,"",E10*F10*G10)</f>
        <v/>
      </c>
      <c r="I10" s="4">
        <f>IF(H10="","",IF(H10&gt;=75,"Critical",IF(H10&gt;=40,"High",IF(H10&gt;=15,"Medium","Low"))))</f>
        <v/>
      </c>
      <c r="J10" s="9" t="n"/>
      <c r="K10" s="10" t="n"/>
      <c r="L10" s="4">
        <f>IF(OR(H10="",K10=""),"",ROUND(H10*(1-K10),0))</f>
        <v/>
      </c>
      <c r="M10" s="4">
        <f>IF(L10="","",IF(L10&gt;=75,"Critical",IF(L10&gt;=40,"High",IF(L10&gt;=15,"Medium","Low"))))</f>
        <v/>
      </c>
      <c r="N10" s="10" t="n"/>
      <c r="O10" s="11" t="n"/>
      <c r="P10" s="7">
        <f>IF(OR(N10="",O10=""),"",N10*O10)</f>
        <v/>
      </c>
      <c r="Q10" s="8">
        <f>IF(OR(N10="",K10=""),"",N10*(1-K10))</f>
        <v/>
      </c>
      <c r="R10" s="7">
        <f>IF(OR(Q10="",O10=""),"",Q10*O10)</f>
        <v/>
      </c>
      <c r="S10" s="7">
        <f>IF(OR(P10="",R10=""),"",P10-R10)</f>
        <v/>
      </c>
      <c r="T10" s="9" t="n"/>
      <c r="U10" s="9" t="n"/>
      <c r="V10" s="9" t="n"/>
    </row>
    <row r="11" ht="31" customHeight="1">
      <c r="A11" s="9" t="n"/>
      <c r="B11" s="9" t="n"/>
      <c r="C11" s="9" t="n"/>
      <c r="D11" s="9" t="n"/>
      <c r="E11" s="9" t="n"/>
      <c r="F11" s="9" t="n"/>
      <c r="G11" s="9" t="n"/>
      <c r="H11" s="4">
        <f>IF(COUNTA(E11:G11)&lt;3,"",E11*F11*G11)</f>
        <v/>
      </c>
      <c r="I11" s="4">
        <f>IF(H11="","",IF(H11&gt;=75,"Critical",IF(H11&gt;=40,"High",IF(H11&gt;=15,"Medium","Low"))))</f>
        <v/>
      </c>
      <c r="J11" s="9" t="n"/>
      <c r="K11" s="10" t="n"/>
      <c r="L11" s="4">
        <f>IF(OR(H11="",K11=""),"",ROUND(H11*(1-K11),0))</f>
        <v/>
      </c>
      <c r="M11" s="4">
        <f>IF(L11="","",IF(L11&gt;=75,"Critical",IF(L11&gt;=40,"High",IF(L11&gt;=15,"Medium","Low"))))</f>
        <v/>
      </c>
      <c r="N11" s="10" t="n"/>
      <c r="O11" s="11" t="n"/>
      <c r="P11" s="7">
        <f>IF(OR(N11="",O11=""),"",N11*O11)</f>
        <v/>
      </c>
      <c r="Q11" s="8">
        <f>IF(OR(N11="",K11=""),"",N11*(1-K11))</f>
        <v/>
      </c>
      <c r="R11" s="7">
        <f>IF(OR(Q11="",O11=""),"",Q11*O11)</f>
        <v/>
      </c>
      <c r="S11" s="7">
        <f>IF(OR(P11="",R11=""),"",P11-R11)</f>
        <v/>
      </c>
      <c r="T11" s="9" t="n"/>
      <c r="U11" s="9" t="n"/>
      <c r="V11" s="9" t="n"/>
    </row>
    <row r="12" ht="31" customHeight="1">
      <c r="A12" s="9" t="n"/>
      <c r="B12" s="9" t="n"/>
      <c r="C12" s="9" t="n"/>
      <c r="D12" s="9" t="n"/>
      <c r="E12" s="9" t="n"/>
      <c r="F12" s="9" t="n"/>
      <c r="G12" s="9" t="n"/>
      <c r="H12" s="4">
        <f>IF(COUNTA(E12:G12)&lt;3,"",E12*F12*G12)</f>
        <v/>
      </c>
      <c r="I12" s="4">
        <f>IF(H12="","",IF(H12&gt;=75,"Critical",IF(H12&gt;=40,"High",IF(H12&gt;=15,"Medium","Low"))))</f>
        <v/>
      </c>
      <c r="J12" s="9" t="n"/>
      <c r="K12" s="10" t="n"/>
      <c r="L12" s="4">
        <f>IF(OR(H12="",K12=""),"",ROUND(H12*(1-K12),0))</f>
        <v/>
      </c>
      <c r="M12" s="4">
        <f>IF(L12="","",IF(L12&gt;=75,"Critical",IF(L12&gt;=40,"High",IF(L12&gt;=15,"Medium","Low"))))</f>
        <v/>
      </c>
      <c r="N12" s="10" t="n"/>
      <c r="O12" s="11" t="n"/>
      <c r="P12" s="7">
        <f>IF(OR(N12="",O12=""),"",N12*O12)</f>
        <v/>
      </c>
      <c r="Q12" s="8">
        <f>IF(OR(N12="",K12=""),"",N12*(1-K12))</f>
        <v/>
      </c>
      <c r="R12" s="7">
        <f>IF(OR(Q12="",O12=""),"",Q12*O12)</f>
        <v/>
      </c>
      <c r="S12" s="7">
        <f>IF(OR(P12="",R12=""),"",P12-R12)</f>
        <v/>
      </c>
      <c r="T12" s="9" t="n"/>
      <c r="U12" s="9" t="n"/>
      <c r="V12" s="9" t="n"/>
    </row>
    <row r="13" ht="31" customHeight="1">
      <c r="A13" s="9" t="n"/>
      <c r="B13" s="9" t="n"/>
      <c r="C13" s="9" t="n"/>
      <c r="D13" s="9" t="n"/>
      <c r="E13" s="9" t="n"/>
      <c r="F13" s="9" t="n"/>
      <c r="G13" s="9" t="n"/>
      <c r="H13" s="4">
        <f>IF(COUNTA(E13:G13)&lt;3,"",E13*F13*G13)</f>
        <v/>
      </c>
      <c r="I13" s="4">
        <f>IF(H13="","",IF(H13&gt;=75,"Critical",IF(H13&gt;=40,"High",IF(H13&gt;=15,"Medium","Low"))))</f>
        <v/>
      </c>
      <c r="J13" s="9" t="n"/>
      <c r="K13" s="10" t="n"/>
      <c r="L13" s="4">
        <f>IF(OR(H13="",K13=""),"",ROUND(H13*(1-K13),0))</f>
        <v/>
      </c>
      <c r="M13" s="4">
        <f>IF(L13="","",IF(L13&gt;=75,"Critical",IF(L13&gt;=40,"High",IF(L13&gt;=15,"Medium","Low"))))</f>
        <v/>
      </c>
      <c r="N13" s="10" t="n"/>
      <c r="O13" s="11" t="n"/>
      <c r="P13" s="7">
        <f>IF(OR(N13="",O13=""),"",N13*O13)</f>
        <v/>
      </c>
      <c r="Q13" s="8">
        <f>IF(OR(N13="",K13=""),"",N13*(1-K13))</f>
        <v/>
      </c>
      <c r="R13" s="7">
        <f>IF(OR(Q13="",O13=""),"",Q13*O13)</f>
        <v/>
      </c>
      <c r="S13" s="7">
        <f>IF(OR(P13="",R13=""),"",P13-R13)</f>
        <v/>
      </c>
      <c r="T13" s="9" t="n"/>
      <c r="U13" s="9" t="n"/>
      <c r="V13" s="9" t="n"/>
    </row>
    <row r="14" ht="31" customHeight="1">
      <c r="A14" s="9" t="n"/>
      <c r="B14" s="9" t="n"/>
      <c r="C14" s="9" t="n"/>
      <c r="D14" s="9" t="n"/>
      <c r="E14" s="9" t="n"/>
      <c r="F14" s="9" t="n"/>
      <c r="G14" s="9" t="n"/>
      <c r="H14" s="4">
        <f>IF(COUNTA(E14:G14)&lt;3,"",E14*F14*G14)</f>
        <v/>
      </c>
      <c r="I14" s="4">
        <f>IF(H14="","",IF(H14&gt;=75,"Critical",IF(H14&gt;=40,"High",IF(H14&gt;=15,"Medium","Low"))))</f>
        <v/>
      </c>
      <c r="J14" s="9" t="n"/>
      <c r="K14" s="10" t="n"/>
      <c r="L14" s="4">
        <f>IF(OR(H14="",K14=""),"",ROUND(H14*(1-K14),0))</f>
        <v/>
      </c>
      <c r="M14" s="4">
        <f>IF(L14="","",IF(L14&gt;=75,"Critical",IF(L14&gt;=40,"High",IF(L14&gt;=15,"Medium","Low"))))</f>
        <v/>
      </c>
      <c r="N14" s="10" t="n"/>
      <c r="O14" s="11" t="n"/>
      <c r="P14" s="7">
        <f>IF(OR(N14="",O14=""),"",N14*O14)</f>
        <v/>
      </c>
      <c r="Q14" s="8">
        <f>IF(OR(N14="",K14=""),"",N14*(1-K14))</f>
        <v/>
      </c>
      <c r="R14" s="7">
        <f>IF(OR(Q14="",O14=""),"",Q14*O14)</f>
        <v/>
      </c>
      <c r="S14" s="7">
        <f>IF(OR(P14="",R14=""),"",P14-R14)</f>
        <v/>
      </c>
      <c r="T14" s="9" t="n"/>
      <c r="U14" s="9" t="n"/>
      <c r="V14" s="9" t="n"/>
    </row>
    <row r="15" ht="31" customHeight="1">
      <c r="A15" s="9" t="n"/>
      <c r="B15" s="9" t="n"/>
      <c r="C15" s="9" t="n"/>
      <c r="D15" s="9" t="n"/>
      <c r="E15" s="9" t="n"/>
      <c r="F15" s="9" t="n"/>
      <c r="G15" s="9" t="n"/>
      <c r="H15" s="4">
        <f>IF(COUNTA(E15:G15)&lt;3,"",E15*F15*G15)</f>
        <v/>
      </c>
      <c r="I15" s="4">
        <f>IF(H15="","",IF(H15&gt;=75,"Critical",IF(H15&gt;=40,"High",IF(H15&gt;=15,"Medium","Low"))))</f>
        <v/>
      </c>
      <c r="J15" s="9" t="n"/>
      <c r="K15" s="10" t="n"/>
      <c r="L15" s="4">
        <f>IF(OR(H15="",K15=""),"",ROUND(H15*(1-K15),0))</f>
        <v/>
      </c>
      <c r="M15" s="4">
        <f>IF(L15="","",IF(L15&gt;=75,"Critical",IF(L15&gt;=40,"High",IF(L15&gt;=15,"Medium","Low"))))</f>
        <v/>
      </c>
      <c r="N15" s="10" t="n"/>
      <c r="O15" s="11" t="n"/>
      <c r="P15" s="7">
        <f>IF(OR(N15="",O15=""),"",N15*O15)</f>
        <v/>
      </c>
      <c r="Q15" s="8">
        <f>IF(OR(N15="",K15=""),"",N15*(1-K15))</f>
        <v/>
      </c>
      <c r="R15" s="7">
        <f>IF(OR(Q15="",O15=""),"",Q15*O15)</f>
        <v/>
      </c>
      <c r="S15" s="7">
        <f>IF(OR(P15="",R15=""),"",P15-R15)</f>
        <v/>
      </c>
      <c r="T15" s="9" t="n"/>
      <c r="U15" s="9" t="n"/>
      <c r="V15" s="9" t="n"/>
    </row>
    <row r="16" ht="31" customHeight="1">
      <c r="A16" s="9" t="n"/>
      <c r="B16" s="9" t="n"/>
      <c r="C16" s="9" t="n"/>
      <c r="D16" s="9" t="n"/>
      <c r="E16" s="9" t="n"/>
      <c r="F16" s="9" t="n"/>
      <c r="G16" s="9" t="n"/>
      <c r="H16" s="4">
        <f>IF(COUNTA(E16:G16)&lt;3,"",E16*F16*G16)</f>
        <v/>
      </c>
      <c r="I16" s="4">
        <f>IF(H16="","",IF(H16&gt;=75,"Critical",IF(H16&gt;=40,"High",IF(H16&gt;=15,"Medium","Low"))))</f>
        <v/>
      </c>
      <c r="J16" s="9" t="n"/>
      <c r="K16" s="10" t="n"/>
      <c r="L16" s="4">
        <f>IF(OR(H16="",K16=""),"",ROUND(H16*(1-K16),0))</f>
        <v/>
      </c>
      <c r="M16" s="4">
        <f>IF(L16="","",IF(L16&gt;=75,"Critical",IF(L16&gt;=40,"High",IF(L16&gt;=15,"Medium","Low"))))</f>
        <v/>
      </c>
      <c r="N16" s="10" t="n"/>
      <c r="O16" s="11" t="n"/>
      <c r="P16" s="7">
        <f>IF(OR(N16="",O16=""),"",N16*O16)</f>
        <v/>
      </c>
      <c r="Q16" s="8">
        <f>IF(OR(N16="",K16=""),"",N16*(1-K16))</f>
        <v/>
      </c>
      <c r="R16" s="7">
        <f>IF(OR(Q16="",O16=""),"",Q16*O16)</f>
        <v/>
      </c>
      <c r="S16" s="7">
        <f>IF(OR(P16="",R16=""),"",P16-R16)</f>
        <v/>
      </c>
      <c r="T16" s="9" t="n"/>
      <c r="U16" s="9" t="n"/>
      <c r="V16" s="9" t="n"/>
    </row>
    <row r="17" ht="31" customHeight="1">
      <c r="A17" s="9" t="n"/>
      <c r="B17" s="9" t="n"/>
      <c r="C17" s="9" t="n"/>
      <c r="D17" s="9" t="n"/>
      <c r="E17" s="9" t="n"/>
      <c r="F17" s="9" t="n"/>
      <c r="G17" s="9" t="n"/>
      <c r="H17" s="4">
        <f>IF(COUNTA(E17:G17)&lt;3,"",E17*F17*G17)</f>
        <v/>
      </c>
      <c r="I17" s="4">
        <f>IF(H17="","",IF(H17&gt;=75,"Critical",IF(H17&gt;=40,"High",IF(H17&gt;=15,"Medium","Low"))))</f>
        <v/>
      </c>
      <c r="J17" s="9" t="n"/>
      <c r="K17" s="10" t="n"/>
      <c r="L17" s="4">
        <f>IF(OR(H17="",K17=""),"",ROUND(H17*(1-K17),0))</f>
        <v/>
      </c>
      <c r="M17" s="4">
        <f>IF(L17="","",IF(L17&gt;=75,"Critical",IF(L17&gt;=40,"High",IF(L17&gt;=15,"Medium","Low"))))</f>
        <v/>
      </c>
      <c r="N17" s="10" t="n"/>
      <c r="O17" s="11" t="n"/>
      <c r="P17" s="7">
        <f>IF(OR(N17="",O17=""),"",N17*O17)</f>
        <v/>
      </c>
      <c r="Q17" s="8">
        <f>IF(OR(N17="",K17=""),"",N17*(1-K17))</f>
        <v/>
      </c>
      <c r="R17" s="7">
        <f>IF(OR(Q17="",O17=""),"",Q17*O17)</f>
        <v/>
      </c>
      <c r="S17" s="7">
        <f>IF(OR(P17="",R17=""),"",P17-R17)</f>
        <v/>
      </c>
      <c r="T17" s="9" t="n"/>
      <c r="U17" s="9" t="n"/>
      <c r="V17" s="9" t="n"/>
    </row>
    <row r="18" ht="31" customHeight="1">
      <c r="A18" s="9" t="n"/>
      <c r="B18" s="9" t="n"/>
      <c r="C18" s="9" t="n"/>
      <c r="D18" s="9" t="n"/>
      <c r="E18" s="9" t="n"/>
      <c r="F18" s="9" t="n"/>
      <c r="G18" s="9" t="n"/>
      <c r="H18" s="4">
        <f>IF(COUNTA(E18:G18)&lt;3,"",E18*F18*G18)</f>
        <v/>
      </c>
      <c r="I18" s="4">
        <f>IF(H18="","",IF(H18&gt;=75,"Critical",IF(H18&gt;=40,"High",IF(H18&gt;=15,"Medium","Low"))))</f>
        <v/>
      </c>
      <c r="J18" s="9" t="n"/>
      <c r="K18" s="10" t="n"/>
      <c r="L18" s="4">
        <f>IF(OR(H18="",K18=""),"",ROUND(H18*(1-K18),0))</f>
        <v/>
      </c>
      <c r="M18" s="4">
        <f>IF(L18="","",IF(L18&gt;=75,"Critical",IF(L18&gt;=40,"High",IF(L18&gt;=15,"Medium","Low"))))</f>
        <v/>
      </c>
      <c r="N18" s="10" t="n"/>
      <c r="O18" s="11" t="n"/>
      <c r="P18" s="7">
        <f>IF(OR(N18="",O18=""),"",N18*O18)</f>
        <v/>
      </c>
      <c r="Q18" s="8">
        <f>IF(OR(N18="",K18=""),"",N18*(1-K18))</f>
        <v/>
      </c>
      <c r="R18" s="7">
        <f>IF(OR(Q18="",O18=""),"",Q18*O18)</f>
        <v/>
      </c>
      <c r="S18" s="7">
        <f>IF(OR(P18="",R18=""),"",P18-R18)</f>
        <v/>
      </c>
      <c r="T18" s="9" t="n"/>
      <c r="U18" s="9" t="n"/>
      <c r="V18" s="9" t="n"/>
    </row>
    <row r="19" ht="31" customHeight="1">
      <c r="A19" s="9" t="n"/>
      <c r="B19" s="9" t="n"/>
      <c r="C19" s="9" t="n"/>
      <c r="D19" s="9" t="n"/>
      <c r="E19" s="9" t="n"/>
      <c r="F19" s="9" t="n"/>
      <c r="G19" s="9" t="n"/>
      <c r="H19" s="4">
        <f>IF(COUNTA(E19:G19)&lt;3,"",E19*F19*G19)</f>
        <v/>
      </c>
      <c r="I19" s="4">
        <f>IF(H19="","",IF(H19&gt;=75,"Critical",IF(H19&gt;=40,"High",IF(H19&gt;=15,"Medium","Low"))))</f>
        <v/>
      </c>
      <c r="J19" s="9" t="n"/>
      <c r="K19" s="10" t="n"/>
      <c r="L19" s="4">
        <f>IF(OR(H19="",K19=""),"",ROUND(H19*(1-K19),0))</f>
        <v/>
      </c>
      <c r="M19" s="4">
        <f>IF(L19="","",IF(L19&gt;=75,"Critical",IF(L19&gt;=40,"High",IF(L19&gt;=15,"Medium","Low"))))</f>
        <v/>
      </c>
      <c r="N19" s="10" t="n"/>
      <c r="O19" s="11" t="n"/>
      <c r="P19" s="7">
        <f>IF(OR(N19="",O19=""),"",N19*O19)</f>
        <v/>
      </c>
      <c r="Q19" s="8">
        <f>IF(OR(N19="",K19=""),"",N19*(1-K19))</f>
        <v/>
      </c>
      <c r="R19" s="7">
        <f>IF(OR(Q19="",O19=""),"",Q19*O19)</f>
        <v/>
      </c>
      <c r="S19" s="7">
        <f>IF(OR(P19="",R19=""),"",P19-R19)</f>
        <v/>
      </c>
      <c r="T19" s="9" t="n"/>
      <c r="U19" s="9" t="n"/>
      <c r="V19" s="9" t="n"/>
    </row>
    <row r="20" ht="31" customHeight="1">
      <c r="A20" s="9" t="n"/>
      <c r="B20" s="9" t="n"/>
      <c r="C20" s="9" t="n"/>
      <c r="D20" s="9" t="n"/>
      <c r="E20" s="9" t="n"/>
      <c r="F20" s="9" t="n"/>
      <c r="G20" s="9" t="n"/>
      <c r="H20" s="4">
        <f>IF(COUNTA(E20:G20)&lt;3,"",E20*F20*G20)</f>
        <v/>
      </c>
      <c r="I20" s="4">
        <f>IF(H20="","",IF(H20&gt;=75,"Critical",IF(H20&gt;=40,"High",IF(H20&gt;=15,"Medium","Low"))))</f>
        <v/>
      </c>
      <c r="J20" s="9" t="n"/>
      <c r="K20" s="10" t="n"/>
      <c r="L20" s="4">
        <f>IF(OR(H20="",K20=""),"",ROUND(H20*(1-K20),0))</f>
        <v/>
      </c>
      <c r="M20" s="4">
        <f>IF(L20="","",IF(L20&gt;=75,"Critical",IF(L20&gt;=40,"High",IF(L20&gt;=15,"Medium","Low"))))</f>
        <v/>
      </c>
      <c r="N20" s="10" t="n"/>
      <c r="O20" s="11" t="n"/>
      <c r="P20" s="7">
        <f>IF(OR(N20="",O20=""),"",N20*O20)</f>
        <v/>
      </c>
      <c r="Q20" s="8">
        <f>IF(OR(N20="",K20=""),"",N20*(1-K20))</f>
        <v/>
      </c>
      <c r="R20" s="7">
        <f>IF(OR(Q20="",O20=""),"",Q20*O20)</f>
        <v/>
      </c>
      <c r="S20" s="7">
        <f>IF(OR(P20="",R20=""),"",P20-R20)</f>
        <v/>
      </c>
      <c r="T20" s="9" t="n"/>
      <c r="U20" s="9" t="n"/>
      <c r="V20" s="9" t="n"/>
    </row>
    <row r="21" ht="31" customHeight="1">
      <c r="A21" s="9" t="n"/>
      <c r="B21" s="9" t="n"/>
      <c r="C21" s="9" t="n"/>
      <c r="D21" s="9" t="n"/>
      <c r="E21" s="9" t="n"/>
      <c r="F21" s="9" t="n"/>
      <c r="G21" s="9" t="n"/>
      <c r="H21" s="4">
        <f>IF(COUNTA(E21:G21)&lt;3,"",E21*F21*G21)</f>
        <v/>
      </c>
      <c r="I21" s="4">
        <f>IF(H21="","",IF(H21&gt;=75,"Critical",IF(H21&gt;=40,"High",IF(H21&gt;=15,"Medium","Low"))))</f>
        <v/>
      </c>
      <c r="J21" s="9" t="n"/>
      <c r="K21" s="10" t="n"/>
      <c r="L21" s="4">
        <f>IF(OR(H21="",K21=""),"",ROUND(H21*(1-K21),0))</f>
        <v/>
      </c>
      <c r="M21" s="4">
        <f>IF(L21="","",IF(L21&gt;=75,"Critical",IF(L21&gt;=40,"High",IF(L21&gt;=15,"Medium","Low"))))</f>
        <v/>
      </c>
      <c r="N21" s="10" t="n"/>
      <c r="O21" s="11" t="n"/>
      <c r="P21" s="7">
        <f>IF(OR(N21="",O21=""),"",N21*O21)</f>
        <v/>
      </c>
      <c r="Q21" s="8">
        <f>IF(OR(N21="",K21=""),"",N21*(1-K21))</f>
        <v/>
      </c>
      <c r="R21" s="7">
        <f>IF(OR(Q21="",O21=""),"",Q21*O21)</f>
        <v/>
      </c>
      <c r="S21" s="7">
        <f>IF(OR(P21="",R21=""),"",P21-R21)</f>
        <v/>
      </c>
      <c r="T21" s="9" t="n"/>
      <c r="U21" s="9" t="n"/>
      <c r="V21" s="9" t="n"/>
    </row>
    <row r="22" ht="31" customHeight="1">
      <c r="A22" s="9" t="n"/>
      <c r="B22" s="9" t="n"/>
      <c r="C22" s="9" t="n"/>
      <c r="D22" s="9" t="n"/>
      <c r="E22" s="9" t="n"/>
      <c r="F22" s="9" t="n"/>
      <c r="G22" s="9" t="n"/>
      <c r="H22" s="4">
        <f>IF(COUNTA(E22:G22)&lt;3,"",E22*F22*G22)</f>
        <v/>
      </c>
      <c r="I22" s="4">
        <f>IF(H22="","",IF(H22&gt;=75,"Critical",IF(H22&gt;=40,"High",IF(H22&gt;=15,"Medium","Low"))))</f>
        <v/>
      </c>
      <c r="J22" s="9" t="n"/>
      <c r="K22" s="10" t="n"/>
      <c r="L22" s="4">
        <f>IF(OR(H22="",K22=""),"",ROUND(H22*(1-K22),0))</f>
        <v/>
      </c>
      <c r="M22" s="4">
        <f>IF(L22="","",IF(L22&gt;=75,"Critical",IF(L22&gt;=40,"High",IF(L22&gt;=15,"Medium","Low"))))</f>
        <v/>
      </c>
      <c r="N22" s="10" t="n"/>
      <c r="O22" s="11" t="n"/>
      <c r="P22" s="7">
        <f>IF(OR(N22="",O22=""),"",N22*O22)</f>
        <v/>
      </c>
      <c r="Q22" s="8">
        <f>IF(OR(N22="",K22=""),"",N22*(1-K22))</f>
        <v/>
      </c>
      <c r="R22" s="7">
        <f>IF(OR(Q22="",O22=""),"",Q22*O22)</f>
        <v/>
      </c>
      <c r="S22" s="7">
        <f>IF(OR(P22="",R22=""),"",P22-R22)</f>
        <v/>
      </c>
      <c r="T22" s="9" t="n"/>
      <c r="U22" s="9" t="n"/>
      <c r="V22" s="9" t="n"/>
    </row>
    <row r="23" ht="31" customHeight="1">
      <c r="A23" s="9" t="n"/>
      <c r="B23" s="9" t="n"/>
      <c r="C23" s="9" t="n"/>
      <c r="D23" s="9" t="n"/>
      <c r="E23" s="9" t="n"/>
      <c r="F23" s="9" t="n"/>
      <c r="G23" s="9" t="n"/>
      <c r="H23" s="4">
        <f>IF(COUNTA(E23:G23)&lt;3,"",E23*F23*G23)</f>
        <v/>
      </c>
      <c r="I23" s="4">
        <f>IF(H23="","",IF(H23&gt;=75,"Critical",IF(H23&gt;=40,"High",IF(H23&gt;=15,"Medium","Low"))))</f>
        <v/>
      </c>
      <c r="J23" s="9" t="n"/>
      <c r="K23" s="10" t="n"/>
      <c r="L23" s="4">
        <f>IF(OR(H23="",K23=""),"",ROUND(H23*(1-K23),0))</f>
        <v/>
      </c>
      <c r="M23" s="4">
        <f>IF(L23="","",IF(L23&gt;=75,"Critical",IF(L23&gt;=40,"High",IF(L23&gt;=15,"Medium","Low"))))</f>
        <v/>
      </c>
      <c r="N23" s="10" t="n"/>
      <c r="O23" s="11" t="n"/>
      <c r="P23" s="7">
        <f>IF(OR(N23="",O23=""),"",N23*O23)</f>
        <v/>
      </c>
      <c r="Q23" s="8">
        <f>IF(OR(N23="",K23=""),"",N23*(1-K23))</f>
        <v/>
      </c>
      <c r="R23" s="7">
        <f>IF(OR(Q23="",O23=""),"",Q23*O23)</f>
        <v/>
      </c>
      <c r="S23" s="7">
        <f>IF(OR(P23="",R23=""),"",P23-R23)</f>
        <v/>
      </c>
      <c r="T23" s="9" t="n"/>
      <c r="U23" s="9" t="n"/>
      <c r="V23" s="9" t="n"/>
    </row>
    <row r="24" ht="31" customHeight="1">
      <c r="A24" s="9" t="n"/>
      <c r="B24" s="9" t="n"/>
      <c r="C24" s="9" t="n"/>
      <c r="D24" s="9" t="n"/>
      <c r="E24" s="9" t="n"/>
      <c r="F24" s="9" t="n"/>
      <c r="G24" s="9" t="n"/>
      <c r="H24" s="4">
        <f>IF(COUNTA(E24:G24)&lt;3,"",E24*F24*G24)</f>
        <v/>
      </c>
      <c r="I24" s="4">
        <f>IF(H24="","",IF(H24&gt;=75,"Critical",IF(H24&gt;=40,"High",IF(H24&gt;=15,"Medium","Low"))))</f>
        <v/>
      </c>
      <c r="J24" s="9" t="n"/>
      <c r="K24" s="10" t="n"/>
      <c r="L24" s="4">
        <f>IF(OR(H24="",K24=""),"",ROUND(H24*(1-K24),0))</f>
        <v/>
      </c>
      <c r="M24" s="4">
        <f>IF(L24="","",IF(L24&gt;=75,"Critical",IF(L24&gt;=40,"High",IF(L24&gt;=15,"Medium","Low"))))</f>
        <v/>
      </c>
      <c r="N24" s="10" t="n"/>
      <c r="O24" s="11" t="n"/>
      <c r="P24" s="7">
        <f>IF(OR(N24="",O24=""),"",N24*O24)</f>
        <v/>
      </c>
      <c r="Q24" s="8">
        <f>IF(OR(N24="",K24=""),"",N24*(1-K24))</f>
        <v/>
      </c>
      <c r="R24" s="7">
        <f>IF(OR(Q24="",O24=""),"",Q24*O24)</f>
        <v/>
      </c>
      <c r="S24" s="7">
        <f>IF(OR(P24="",R24=""),"",P24-R24)</f>
        <v/>
      </c>
      <c r="T24" s="9" t="n"/>
      <c r="U24" s="9" t="n"/>
      <c r="V24" s="9" t="n"/>
    </row>
    <row r="25" ht="31" customHeight="1">
      <c r="A25" s="9" t="n"/>
      <c r="B25" s="9" t="n"/>
      <c r="C25" s="9" t="n"/>
      <c r="D25" s="9" t="n"/>
      <c r="E25" s="9" t="n"/>
      <c r="F25" s="9" t="n"/>
      <c r="G25" s="9" t="n"/>
      <c r="H25" s="4">
        <f>IF(COUNTA(E25:G25)&lt;3,"",E25*F25*G25)</f>
        <v/>
      </c>
      <c r="I25" s="4">
        <f>IF(H25="","",IF(H25&gt;=75,"Critical",IF(H25&gt;=40,"High",IF(H25&gt;=15,"Medium","Low"))))</f>
        <v/>
      </c>
      <c r="J25" s="9" t="n"/>
      <c r="K25" s="10" t="n"/>
      <c r="L25" s="4">
        <f>IF(OR(H25="",K25=""),"",ROUND(H25*(1-K25),0))</f>
        <v/>
      </c>
      <c r="M25" s="4">
        <f>IF(L25="","",IF(L25&gt;=75,"Critical",IF(L25&gt;=40,"High",IF(L25&gt;=15,"Medium","Low"))))</f>
        <v/>
      </c>
      <c r="N25" s="10" t="n"/>
      <c r="O25" s="11" t="n"/>
      <c r="P25" s="7">
        <f>IF(OR(N25="",O25=""),"",N25*O25)</f>
        <v/>
      </c>
      <c r="Q25" s="8">
        <f>IF(OR(N25="",K25=""),"",N25*(1-K25))</f>
        <v/>
      </c>
      <c r="R25" s="7">
        <f>IF(OR(Q25="",O25=""),"",Q25*O25)</f>
        <v/>
      </c>
      <c r="S25" s="7">
        <f>IF(OR(P25="",R25=""),"",P25-R25)</f>
        <v/>
      </c>
      <c r="T25" s="9" t="n"/>
      <c r="U25" s="9" t="n"/>
      <c r="V25" s="9" t="n"/>
    </row>
    <row r="26" ht="31" customHeight="1">
      <c r="A26" s="9" t="n"/>
      <c r="B26" s="9" t="n"/>
      <c r="C26" s="9" t="n"/>
      <c r="D26" s="9" t="n"/>
      <c r="E26" s="9" t="n"/>
      <c r="F26" s="9" t="n"/>
      <c r="G26" s="9" t="n"/>
      <c r="H26" s="4">
        <f>IF(COUNTA(E26:G26)&lt;3,"",E26*F26*G26)</f>
        <v/>
      </c>
      <c r="I26" s="4">
        <f>IF(H26="","",IF(H26&gt;=75,"Critical",IF(H26&gt;=40,"High",IF(H26&gt;=15,"Medium","Low"))))</f>
        <v/>
      </c>
      <c r="J26" s="9" t="n"/>
      <c r="K26" s="10" t="n"/>
      <c r="L26" s="4">
        <f>IF(OR(H26="",K26=""),"",ROUND(H26*(1-K26),0))</f>
        <v/>
      </c>
      <c r="M26" s="4">
        <f>IF(L26="","",IF(L26&gt;=75,"Critical",IF(L26&gt;=40,"High",IF(L26&gt;=15,"Medium","Low"))))</f>
        <v/>
      </c>
      <c r="N26" s="10" t="n"/>
      <c r="O26" s="11" t="n"/>
      <c r="P26" s="7">
        <f>IF(OR(N26="",O26=""),"",N26*O26)</f>
        <v/>
      </c>
      <c r="Q26" s="8">
        <f>IF(OR(N26="",K26=""),"",N26*(1-K26))</f>
        <v/>
      </c>
      <c r="R26" s="7">
        <f>IF(OR(Q26="",O26=""),"",Q26*O26)</f>
        <v/>
      </c>
      <c r="S26" s="7">
        <f>IF(OR(P26="",R26=""),"",P26-R26)</f>
        <v/>
      </c>
      <c r="T26" s="9" t="n"/>
      <c r="U26" s="9" t="n"/>
      <c r="V26" s="9" t="n"/>
    </row>
    <row r="27" ht="31" customHeight="1">
      <c r="A27" s="9" t="n"/>
      <c r="B27" s="9" t="n"/>
      <c r="C27" s="9" t="n"/>
      <c r="D27" s="9" t="n"/>
      <c r="E27" s="9" t="n"/>
      <c r="F27" s="9" t="n"/>
      <c r="G27" s="9" t="n"/>
      <c r="H27" s="4">
        <f>IF(COUNTA(E27:G27)&lt;3,"",E27*F27*G27)</f>
        <v/>
      </c>
      <c r="I27" s="4">
        <f>IF(H27="","",IF(H27&gt;=75,"Critical",IF(H27&gt;=40,"High",IF(H27&gt;=15,"Medium","Low"))))</f>
        <v/>
      </c>
      <c r="J27" s="9" t="n"/>
      <c r="K27" s="10" t="n"/>
      <c r="L27" s="4">
        <f>IF(OR(H27="",K27=""),"",ROUND(H27*(1-K27),0))</f>
        <v/>
      </c>
      <c r="M27" s="4">
        <f>IF(L27="","",IF(L27&gt;=75,"Critical",IF(L27&gt;=40,"High",IF(L27&gt;=15,"Medium","Low"))))</f>
        <v/>
      </c>
      <c r="N27" s="10" t="n"/>
      <c r="O27" s="11" t="n"/>
      <c r="P27" s="7">
        <f>IF(OR(N27="",O27=""),"",N27*O27)</f>
        <v/>
      </c>
      <c r="Q27" s="8">
        <f>IF(OR(N27="",K27=""),"",N27*(1-K27))</f>
        <v/>
      </c>
      <c r="R27" s="7">
        <f>IF(OR(Q27="",O27=""),"",Q27*O27)</f>
        <v/>
      </c>
      <c r="S27" s="7">
        <f>IF(OR(P27="",R27=""),"",P27-R27)</f>
        <v/>
      </c>
      <c r="T27" s="9" t="n"/>
      <c r="U27" s="9" t="n"/>
      <c r="V27" s="9" t="n"/>
    </row>
    <row r="28" ht="31" customHeight="1">
      <c r="A28" s="9" t="n"/>
      <c r="B28" s="9" t="n"/>
      <c r="C28" s="9" t="n"/>
      <c r="D28" s="9" t="n"/>
      <c r="E28" s="9" t="n"/>
      <c r="F28" s="9" t="n"/>
      <c r="G28" s="9" t="n"/>
      <c r="H28" s="4">
        <f>IF(COUNTA(E28:G28)&lt;3,"",E28*F28*G28)</f>
        <v/>
      </c>
      <c r="I28" s="4">
        <f>IF(H28="","",IF(H28&gt;=75,"Critical",IF(H28&gt;=40,"High",IF(H28&gt;=15,"Medium","Low"))))</f>
        <v/>
      </c>
      <c r="J28" s="9" t="n"/>
      <c r="K28" s="10" t="n"/>
      <c r="L28" s="4">
        <f>IF(OR(H28="",K28=""),"",ROUND(H28*(1-K28),0))</f>
        <v/>
      </c>
      <c r="M28" s="4">
        <f>IF(L28="","",IF(L28&gt;=75,"Critical",IF(L28&gt;=40,"High",IF(L28&gt;=15,"Medium","Low"))))</f>
        <v/>
      </c>
      <c r="N28" s="10" t="n"/>
      <c r="O28" s="11" t="n"/>
      <c r="P28" s="7">
        <f>IF(OR(N28="",O28=""),"",N28*O28)</f>
        <v/>
      </c>
      <c r="Q28" s="8">
        <f>IF(OR(N28="",K28=""),"",N28*(1-K28))</f>
        <v/>
      </c>
      <c r="R28" s="7">
        <f>IF(OR(Q28="",O28=""),"",Q28*O28)</f>
        <v/>
      </c>
      <c r="S28" s="7">
        <f>IF(OR(P28="",R28=""),"",P28-R28)</f>
        <v/>
      </c>
      <c r="T28" s="9" t="n"/>
      <c r="U28" s="9" t="n"/>
      <c r="V28" s="9" t="n"/>
    </row>
    <row r="29" ht="31" customHeight="1">
      <c r="A29" s="9" t="n"/>
      <c r="B29" s="9" t="n"/>
      <c r="C29" s="9" t="n"/>
      <c r="D29" s="9" t="n"/>
      <c r="E29" s="9" t="n"/>
      <c r="F29" s="9" t="n"/>
      <c r="G29" s="9" t="n"/>
      <c r="H29" s="4">
        <f>IF(COUNTA(E29:G29)&lt;3,"",E29*F29*G29)</f>
        <v/>
      </c>
      <c r="I29" s="4">
        <f>IF(H29="","",IF(H29&gt;=75,"Critical",IF(H29&gt;=40,"High",IF(H29&gt;=15,"Medium","Low"))))</f>
        <v/>
      </c>
      <c r="J29" s="9" t="n"/>
      <c r="K29" s="10" t="n"/>
      <c r="L29" s="4">
        <f>IF(OR(H29="",K29=""),"",ROUND(H29*(1-K29),0))</f>
        <v/>
      </c>
      <c r="M29" s="4">
        <f>IF(L29="","",IF(L29&gt;=75,"Critical",IF(L29&gt;=40,"High",IF(L29&gt;=15,"Medium","Low"))))</f>
        <v/>
      </c>
      <c r="N29" s="10" t="n"/>
      <c r="O29" s="11" t="n"/>
      <c r="P29" s="7">
        <f>IF(OR(N29="",O29=""),"",N29*O29)</f>
        <v/>
      </c>
      <c r="Q29" s="8">
        <f>IF(OR(N29="",K29=""),"",N29*(1-K29))</f>
        <v/>
      </c>
      <c r="R29" s="7">
        <f>IF(OR(Q29="",O29=""),"",Q29*O29)</f>
        <v/>
      </c>
      <c r="S29" s="7">
        <f>IF(OR(P29="",R29=""),"",P29-R29)</f>
        <v/>
      </c>
      <c r="T29" s="9" t="n"/>
      <c r="U29" s="9" t="n"/>
      <c r="V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4">
        <f>IF(COUNTA(E30:G30)&lt;3,"",E30*F30*G30)</f>
        <v/>
      </c>
      <c r="I30" s="4">
        <f>IF(H30="","",IF(H30&gt;=75,"Critical",IF(H30&gt;=40,"High",IF(H30&gt;=15,"Medium","Low"))))</f>
        <v/>
      </c>
      <c r="J30" s="9" t="n"/>
      <c r="K30" s="10" t="n"/>
      <c r="L30" s="4">
        <f>IF(OR(H30="",K30=""),"",ROUND(H30*(1-K30),0))</f>
        <v/>
      </c>
      <c r="M30" s="4">
        <f>IF(L30="","",IF(L30&gt;=75,"Critical",IF(L30&gt;=40,"High",IF(L30&gt;=15,"Medium","Low"))))</f>
        <v/>
      </c>
      <c r="N30" s="10" t="n"/>
      <c r="O30" s="11" t="n"/>
      <c r="P30" s="7">
        <f>IF(OR(N30="",O30=""),"",N30*O30)</f>
        <v/>
      </c>
      <c r="Q30" s="8">
        <f>IF(OR(N30="",K30=""),"",N30*(1-K30))</f>
        <v/>
      </c>
      <c r="R30" s="7">
        <f>IF(OR(Q30="",O30=""),"",Q30*O30)</f>
        <v/>
      </c>
      <c r="S30" s="7">
        <f>IF(OR(P30="",R30=""),"",P30-R30)</f>
        <v/>
      </c>
      <c r="T30" s="9" t="n"/>
      <c r="U30" s="9" t="n"/>
      <c r="V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4">
        <f>IF(COUNTA(E31:G31)&lt;3,"",E31*F31*G31)</f>
        <v/>
      </c>
      <c r="I31" s="4">
        <f>IF(H31="","",IF(H31&gt;=75,"Critical",IF(H31&gt;=40,"High",IF(H31&gt;=15,"Medium","Low"))))</f>
        <v/>
      </c>
      <c r="J31" s="9" t="n"/>
      <c r="K31" s="10" t="n"/>
      <c r="L31" s="4">
        <f>IF(OR(H31="",K31=""),"",ROUND(H31*(1-K31),0))</f>
        <v/>
      </c>
      <c r="M31" s="4">
        <f>IF(L31="","",IF(L31&gt;=75,"Critical",IF(L31&gt;=40,"High",IF(L31&gt;=15,"Medium","Low"))))</f>
        <v/>
      </c>
      <c r="N31" s="10" t="n"/>
      <c r="O31" s="11" t="n"/>
      <c r="P31" s="7">
        <f>IF(OR(N31="",O31=""),"",N31*O31)</f>
        <v/>
      </c>
      <c r="Q31" s="8">
        <f>IF(OR(N31="",K31=""),"",N31*(1-K31))</f>
        <v/>
      </c>
      <c r="R31" s="7">
        <f>IF(OR(Q31="",O31=""),"",Q31*O31)</f>
        <v/>
      </c>
      <c r="S31" s="7">
        <f>IF(OR(P31="",R31=""),"",P31-R31)</f>
        <v/>
      </c>
      <c r="T31" s="9" t="n"/>
      <c r="U31" s="9" t="n"/>
      <c r="V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4">
        <f>IF(COUNTA(E32:G32)&lt;3,"",E32*F32*G32)</f>
        <v/>
      </c>
      <c r="I32" s="4">
        <f>IF(H32="","",IF(H32&gt;=75,"Critical",IF(H32&gt;=40,"High",IF(H32&gt;=15,"Medium","Low"))))</f>
        <v/>
      </c>
      <c r="J32" s="9" t="n"/>
      <c r="K32" s="10" t="n"/>
      <c r="L32" s="4">
        <f>IF(OR(H32="",K32=""),"",ROUND(H32*(1-K32),0))</f>
        <v/>
      </c>
      <c r="M32" s="4">
        <f>IF(L32="","",IF(L32&gt;=75,"Critical",IF(L32&gt;=40,"High",IF(L32&gt;=15,"Medium","Low"))))</f>
        <v/>
      </c>
      <c r="N32" s="10" t="n"/>
      <c r="O32" s="11" t="n"/>
      <c r="P32" s="7">
        <f>IF(OR(N32="",O32=""),"",N32*O32)</f>
        <v/>
      </c>
      <c r="Q32" s="8">
        <f>IF(OR(N32="",K32=""),"",N32*(1-K32))</f>
        <v/>
      </c>
      <c r="R32" s="7">
        <f>IF(OR(Q32="",O32=""),"",Q32*O32)</f>
        <v/>
      </c>
      <c r="S32" s="7">
        <f>IF(OR(P32="",R32=""),"",P32-R32)</f>
        <v/>
      </c>
      <c r="T32" s="9" t="n"/>
      <c r="U32" s="9" t="n"/>
      <c r="V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4">
        <f>IF(COUNTA(E33:G33)&lt;3,"",E33*F33*G33)</f>
        <v/>
      </c>
      <c r="I33" s="4">
        <f>IF(H33="","",IF(H33&gt;=75,"Critical",IF(H33&gt;=40,"High",IF(H33&gt;=15,"Medium","Low"))))</f>
        <v/>
      </c>
      <c r="J33" s="9" t="n"/>
      <c r="K33" s="10" t="n"/>
      <c r="L33" s="4">
        <f>IF(OR(H33="",K33=""),"",ROUND(H33*(1-K33),0))</f>
        <v/>
      </c>
      <c r="M33" s="4">
        <f>IF(L33="","",IF(L33&gt;=75,"Critical",IF(L33&gt;=40,"High",IF(L33&gt;=15,"Medium","Low"))))</f>
        <v/>
      </c>
      <c r="N33" s="10" t="n"/>
      <c r="O33" s="11" t="n"/>
      <c r="P33" s="7">
        <f>IF(OR(N33="",O33=""),"",N33*O33)</f>
        <v/>
      </c>
      <c r="Q33" s="8">
        <f>IF(OR(N33="",K33=""),"",N33*(1-K33))</f>
        <v/>
      </c>
      <c r="R33" s="7">
        <f>IF(OR(Q33="",O33=""),"",Q33*O33)</f>
        <v/>
      </c>
      <c r="S33" s="7">
        <f>IF(OR(P33="",R33=""),"",P33-R33)</f>
        <v/>
      </c>
      <c r="T33" s="9" t="n"/>
      <c r="U33" s="9" t="n"/>
      <c r="V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4">
        <f>IF(COUNTA(E34:G34)&lt;3,"",E34*F34*G34)</f>
        <v/>
      </c>
      <c r="I34" s="4">
        <f>IF(H34="","",IF(H34&gt;=75,"Critical",IF(H34&gt;=40,"High",IF(H34&gt;=15,"Medium","Low"))))</f>
        <v/>
      </c>
      <c r="J34" s="9" t="n"/>
      <c r="K34" s="10" t="n"/>
      <c r="L34" s="4">
        <f>IF(OR(H34="",K34=""),"",ROUND(H34*(1-K34),0))</f>
        <v/>
      </c>
      <c r="M34" s="4">
        <f>IF(L34="","",IF(L34&gt;=75,"Critical",IF(L34&gt;=40,"High",IF(L34&gt;=15,"Medium","Low"))))</f>
        <v/>
      </c>
      <c r="N34" s="10" t="n"/>
      <c r="O34" s="11" t="n"/>
      <c r="P34" s="7">
        <f>IF(OR(N34="",O34=""),"",N34*O34)</f>
        <v/>
      </c>
      <c r="Q34" s="8">
        <f>IF(OR(N34="",K34=""),"",N34*(1-K34))</f>
        <v/>
      </c>
      <c r="R34" s="7">
        <f>IF(OR(Q34="",O34=""),"",Q34*O34)</f>
        <v/>
      </c>
      <c r="S34" s="7">
        <f>IF(OR(P34="",R34=""),"",P34-R34)</f>
        <v/>
      </c>
      <c r="T34" s="9" t="n"/>
      <c r="U34" s="9" t="n"/>
      <c r="V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4">
        <f>IF(COUNTA(E35:G35)&lt;3,"",E35*F35*G35)</f>
        <v/>
      </c>
      <c r="I35" s="4">
        <f>IF(H35="","",IF(H35&gt;=75,"Critical",IF(H35&gt;=40,"High",IF(H35&gt;=15,"Medium","Low"))))</f>
        <v/>
      </c>
      <c r="J35" s="9" t="n"/>
      <c r="K35" s="10" t="n"/>
      <c r="L35" s="4">
        <f>IF(OR(H35="",K35=""),"",ROUND(H35*(1-K35),0))</f>
        <v/>
      </c>
      <c r="M35" s="4">
        <f>IF(L35="","",IF(L35&gt;=75,"Critical",IF(L35&gt;=40,"High",IF(L35&gt;=15,"Medium","Low"))))</f>
        <v/>
      </c>
      <c r="N35" s="10" t="n"/>
      <c r="O35" s="11" t="n"/>
      <c r="P35" s="7">
        <f>IF(OR(N35="",O35=""),"",N35*O35)</f>
        <v/>
      </c>
      <c r="Q35" s="8">
        <f>IF(OR(N35="",K35=""),"",N35*(1-K35))</f>
        <v/>
      </c>
      <c r="R35" s="7">
        <f>IF(OR(Q35="",O35=""),"",Q35*O35)</f>
        <v/>
      </c>
      <c r="S35" s="7">
        <f>IF(OR(P35="",R35=""),"",P35-R35)</f>
        <v/>
      </c>
      <c r="T35" s="9" t="n"/>
      <c r="U35" s="9" t="n"/>
      <c r="V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4">
        <f>IF(COUNTA(E36:G36)&lt;3,"",E36*F36*G36)</f>
        <v/>
      </c>
      <c r="I36" s="4">
        <f>IF(H36="","",IF(H36&gt;=75,"Critical",IF(H36&gt;=40,"High",IF(H36&gt;=15,"Medium","Low"))))</f>
        <v/>
      </c>
      <c r="J36" s="9" t="n"/>
      <c r="K36" s="10" t="n"/>
      <c r="L36" s="4">
        <f>IF(OR(H36="",K36=""),"",ROUND(H36*(1-K36),0))</f>
        <v/>
      </c>
      <c r="M36" s="4">
        <f>IF(L36="","",IF(L36&gt;=75,"Critical",IF(L36&gt;=40,"High",IF(L36&gt;=15,"Medium","Low"))))</f>
        <v/>
      </c>
      <c r="N36" s="10" t="n"/>
      <c r="O36" s="11" t="n"/>
      <c r="P36" s="7">
        <f>IF(OR(N36="",O36=""),"",N36*O36)</f>
        <v/>
      </c>
      <c r="Q36" s="8">
        <f>IF(OR(N36="",K36=""),"",N36*(1-K36))</f>
        <v/>
      </c>
      <c r="R36" s="7">
        <f>IF(OR(Q36="",O36=""),"",Q36*O36)</f>
        <v/>
      </c>
      <c r="S36" s="7">
        <f>IF(OR(P36="",R36=""),"",P36-R36)</f>
        <v/>
      </c>
      <c r="T36" s="9" t="n"/>
      <c r="U36" s="9" t="n"/>
      <c r="V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4">
        <f>IF(COUNTA(E37:G37)&lt;3,"",E37*F37*G37)</f>
        <v/>
      </c>
      <c r="I37" s="4">
        <f>IF(H37="","",IF(H37&gt;=75,"Critical",IF(H37&gt;=40,"High",IF(H37&gt;=15,"Medium","Low"))))</f>
        <v/>
      </c>
      <c r="J37" s="9" t="n"/>
      <c r="K37" s="10" t="n"/>
      <c r="L37" s="4">
        <f>IF(OR(H37="",K37=""),"",ROUND(H37*(1-K37),0))</f>
        <v/>
      </c>
      <c r="M37" s="4">
        <f>IF(L37="","",IF(L37&gt;=75,"Critical",IF(L37&gt;=40,"High",IF(L37&gt;=15,"Medium","Low"))))</f>
        <v/>
      </c>
      <c r="N37" s="10" t="n"/>
      <c r="O37" s="11" t="n"/>
      <c r="P37" s="7">
        <f>IF(OR(N37="",O37=""),"",N37*O37)</f>
        <v/>
      </c>
      <c r="Q37" s="8">
        <f>IF(OR(N37="",K37=""),"",N37*(1-K37))</f>
        <v/>
      </c>
      <c r="R37" s="7">
        <f>IF(OR(Q37="",O37=""),"",Q37*O37)</f>
        <v/>
      </c>
      <c r="S37" s="7">
        <f>IF(OR(P37="",R37=""),"",P37-R37)</f>
        <v/>
      </c>
      <c r="T37" s="9" t="n"/>
      <c r="U37" s="9" t="n"/>
      <c r="V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4">
        <f>IF(COUNTA(E38:G38)&lt;3,"",E38*F38*G38)</f>
        <v/>
      </c>
      <c r="I38" s="4">
        <f>IF(H38="","",IF(H38&gt;=75,"Critical",IF(H38&gt;=40,"High",IF(H38&gt;=15,"Medium","Low"))))</f>
        <v/>
      </c>
      <c r="J38" s="9" t="n"/>
      <c r="K38" s="10" t="n"/>
      <c r="L38" s="4">
        <f>IF(OR(H38="",K38=""),"",ROUND(H38*(1-K38),0))</f>
        <v/>
      </c>
      <c r="M38" s="4">
        <f>IF(L38="","",IF(L38&gt;=75,"Critical",IF(L38&gt;=40,"High",IF(L38&gt;=15,"Medium","Low"))))</f>
        <v/>
      </c>
      <c r="N38" s="10" t="n"/>
      <c r="O38" s="11" t="n"/>
      <c r="P38" s="7">
        <f>IF(OR(N38="",O38=""),"",N38*O38)</f>
        <v/>
      </c>
      <c r="Q38" s="8">
        <f>IF(OR(N38="",K38=""),"",N38*(1-K38))</f>
        <v/>
      </c>
      <c r="R38" s="7">
        <f>IF(OR(Q38="",O38=""),"",Q38*O38)</f>
        <v/>
      </c>
      <c r="S38" s="7">
        <f>IF(OR(P38="",R38=""),"",P38-R38)</f>
        <v/>
      </c>
      <c r="T38" s="9" t="n"/>
      <c r="U38" s="9" t="n"/>
      <c r="V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4">
        <f>IF(COUNTA(E39:G39)&lt;3,"",E39*F39*G39)</f>
        <v/>
      </c>
      <c r="I39" s="4">
        <f>IF(H39="","",IF(H39&gt;=75,"Critical",IF(H39&gt;=40,"High",IF(H39&gt;=15,"Medium","Low"))))</f>
        <v/>
      </c>
      <c r="J39" s="9" t="n"/>
      <c r="K39" s="10" t="n"/>
      <c r="L39" s="4">
        <f>IF(OR(H39="",K39=""),"",ROUND(H39*(1-K39),0))</f>
        <v/>
      </c>
      <c r="M39" s="4">
        <f>IF(L39="","",IF(L39&gt;=75,"Critical",IF(L39&gt;=40,"High",IF(L39&gt;=15,"Medium","Low"))))</f>
        <v/>
      </c>
      <c r="N39" s="10" t="n"/>
      <c r="O39" s="11" t="n"/>
      <c r="P39" s="7">
        <f>IF(OR(N39="",O39=""),"",N39*O39)</f>
        <v/>
      </c>
      <c r="Q39" s="8">
        <f>IF(OR(N39="",K39=""),"",N39*(1-K39))</f>
        <v/>
      </c>
      <c r="R39" s="7">
        <f>IF(OR(Q39="",O39=""),"",Q39*O39)</f>
        <v/>
      </c>
      <c r="S39" s="7">
        <f>IF(OR(P39="",R39=""),"",P39-R39)</f>
        <v/>
      </c>
      <c r="T39" s="9" t="n"/>
      <c r="U39" s="9" t="n"/>
      <c r="V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4">
        <f>IF(COUNTA(E40:G40)&lt;3,"",E40*F40*G40)</f>
        <v/>
      </c>
      <c r="I40" s="4">
        <f>IF(H40="","",IF(H40&gt;=75,"Critical",IF(H40&gt;=40,"High",IF(H40&gt;=15,"Medium","Low"))))</f>
        <v/>
      </c>
      <c r="J40" s="9" t="n"/>
      <c r="K40" s="10" t="n"/>
      <c r="L40" s="4">
        <f>IF(OR(H40="",K40=""),"",ROUND(H40*(1-K40),0))</f>
        <v/>
      </c>
      <c r="M40" s="4">
        <f>IF(L40="","",IF(L40&gt;=75,"Critical",IF(L40&gt;=40,"High",IF(L40&gt;=15,"Medium","Low"))))</f>
        <v/>
      </c>
      <c r="N40" s="10" t="n"/>
      <c r="O40" s="11" t="n"/>
      <c r="P40" s="7">
        <f>IF(OR(N40="",O40=""),"",N40*O40)</f>
        <v/>
      </c>
      <c r="Q40" s="8">
        <f>IF(OR(N40="",K40=""),"",N40*(1-K40))</f>
        <v/>
      </c>
      <c r="R40" s="7">
        <f>IF(OR(Q40="",O40=""),"",Q40*O40)</f>
        <v/>
      </c>
      <c r="S40" s="7">
        <f>IF(OR(P40="",R40=""),"",P40-R40)</f>
        <v/>
      </c>
      <c r="T40" s="9" t="n"/>
      <c r="U40" s="9" t="n"/>
      <c r="V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4">
        <f>IF(COUNTA(E41:G41)&lt;3,"",E41*F41*G41)</f>
        <v/>
      </c>
      <c r="I41" s="4">
        <f>IF(H41="","",IF(H41&gt;=75,"Critical",IF(H41&gt;=40,"High",IF(H41&gt;=15,"Medium","Low"))))</f>
        <v/>
      </c>
      <c r="J41" s="9" t="n"/>
      <c r="K41" s="10" t="n"/>
      <c r="L41" s="4">
        <f>IF(OR(H41="",K41=""),"",ROUND(H41*(1-K41),0))</f>
        <v/>
      </c>
      <c r="M41" s="4">
        <f>IF(L41="","",IF(L41&gt;=75,"Critical",IF(L41&gt;=40,"High",IF(L41&gt;=15,"Medium","Low"))))</f>
        <v/>
      </c>
      <c r="N41" s="10" t="n"/>
      <c r="O41" s="11" t="n"/>
      <c r="P41" s="7">
        <f>IF(OR(N41="",O41=""),"",N41*O41)</f>
        <v/>
      </c>
      <c r="Q41" s="8">
        <f>IF(OR(N41="",K41=""),"",N41*(1-K41))</f>
        <v/>
      </c>
      <c r="R41" s="7">
        <f>IF(OR(Q41="",O41=""),"",Q41*O41)</f>
        <v/>
      </c>
      <c r="S41" s="7">
        <f>IF(OR(P41="",R41=""),"",P41-R41)</f>
        <v/>
      </c>
      <c r="T41" s="9" t="n"/>
      <c r="U41" s="9" t="n"/>
      <c r="V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4">
        <f>IF(COUNTA(E42:G42)&lt;3,"",E42*F42*G42)</f>
        <v/>
      </c>
      <c r="I42" s="4">
        <f>IF(H42="","",IF(H42&gt;=75,"Critical",IF(H42&gt;=40,"High",IF(H42&gt;=15,"Medium","Low"))))</f>
        <v/>
      </c>
      <c r="J42" s="9" t="n"/>
      <c r="K42" s="10" t="n"/>
      <c r="L42" s="4">
        <f>IF(OR(H42="",K42=""),"",ROUND(H42*(1-K42),0))</f>
        <v/>
      </c>
      <c r="M42" s="4">
        <f>IF(L42="","",IF(L42&gt;=75,"Critical",IF(L42&gt;=40,"High",IF(L42&gt;=15,"Medium","Low"))))</f>
        <v/>
      </c>
      <c r="N42" s="10" t="n"/>
      <c r="O42" s="11" t="n"/>
      <c r="P42" s="7">
        <f>IF(OR(N42="",O42=""),"",N42*O42)</f>
        <v/>
      </c>
      <c r="Q42" s="8">
        <f>IF(OR(N42="",K42=""),"",N42*(1-K42))</f>
        <v/>
      </c>
      <c r="R42" s="7">
        <f>IF(OR(Q42="",O42=""),"",Q42*O42)</f>
        <v/>
      </c>
      <c r="S42" s="7">
        <f>IF(OR(P42="",R42=""),"",P42-R42)</f>
        <v/>
      </c>
      <c r="T42" s="9" t="n"/>
      <c r="U42" s="9" t="n"/>
      <c r="V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4">
        <f>IF(COUNTA(E43:G43)&lt;3,"",E43*F43*G43)</f>
        <v/>
      </c>
      <c r="I43" s="4">
        <f>IF(H43="","",IF(H43&gt;=75,"Critical",IF(H43&gt;=40,"High",IF(H43&gt;=15,"Medium","Low"))))</f>
        <v/>
      </c>
      <c r="J43" s="9" t="n"/>
      <c r="K43" s="10" t="n"/>
      <c r="L43" s="4">
        <f>IF(OR(H43="",K43=""),"",ROUND(H43*(1-K43),0))</f>
        <v/>
      </c>
      <c r="M43" s="4">
        <f>IF(L43="","",IF(L43&gt;=75,"Critical",IF(L43&gt;=40,"High",IF(L43&gt;=15,"Medium","Low"))))</f>
        <v/>
      </c>
      <c r="N43" s="10" t="n"/>
      <c r="O43" s="11" t="n"/>
      <c r="P43" s="7">
        <f>IF(OR(N43="",O43=""),"",N43*O43)</f>
        <v/>
      </c>
      <c r="Q43" s="8">
        <f>IF(OR(N43="",K43=""),"",N43*(1-K43))</f>
        <v/>
      </c>
      <c r="R43" s="7">
        <f>IF(OR(Q43="",O43=""),"",Q43*O43)</f>
        <v/>
      </c>
      <c r="S43" s="7">
        <f>IF(OR(P43="",R43=""),"",P43-R43)</f>
        <v/>
      </c>
      <c r="T43" s="9" t="n"/>
      <c r="U43" s="9" t="n"/>
      <c r="V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4">
        <f>IF(COUNTA(E44:G44)&lt;3,"",E44*F44*G44)</f>
        <v/>
      </c>
      <c r="I44" s="4">
        <f>IF(H44="","",IF(H44&gt;=75,"Critical",IF(H44&gt;=40,"High",IF(H44&gt;=15,"Medium","Low"))))</f>
        <v/>
      </c>
      <c r="J44" s="9" t="n"/>
      <c r="K44" s="10" t="n"/>
      <c r="L44" s="4">
        <f>IF(OR(H44="",K44=""),"",ROUND(H44*(1-K44),0))</f>
        <v/>
      </c>
      <c r="M44" s="4">
        <f>IF(L44="","",IF(L44&gt;=75,"Critical",IF(L44&gt;=40,"High",IF(L44&gt;=15,"Medium","Low"))))</f>
        <v/>
      </c>
      <c r="N44" s="10" t="n"/>
      <c r="O44" s="11" t="n"/>
      <c r="P44" s="7">
        <f>IF(OR(N44="",O44=""),"",N44*O44)</f>
        <v/>
      </c>
      <c r="Q44" s="8">
        <f>IF(OR(N44="",K44=""),"",N44*(1-K44))</f>
        <v/>
      </c>
      <c r="R44" s="7">
        <f>IF(OR(Q44="",O44=""),"",Q44*O44)</f>
        <v/>
      </c>
      <c r="S44" s="7">
        <f>IF(OR(P44="",R44=""),"",P44-R44)</f>
        <v/>
      </c>
      <c r="T44" s="9" t="n"/>
      <c r="U44" s="9" t="n"/>
      <c r="V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4">
        <f>IF(COUNTA(E45:G45)&lt;3,"",E45*F45*G45)</f>
        <v/>
      </c>
      <c r="I45" s="4">
        <f>IF(H45="","",IF(H45&gt;=75,"Critical",IF(H45&gt;=40,"High",IF(H45&gt;=15,"Medium","Low"))))</f>
        <v/>
      </c>
      <c r="J45" s="9" t="n"/>
      <c r="K45" s="10" t="n"/>
      <c r="L45" s="4">
        <f>IF(OR(H45="",K45=""),"",ROUND(H45*(1-K45),0))</f>
        <v/>
      </c>
      <c r="M45" s="4">
        <f>IF(L45="","",IF(L45&gt;=75,"Critical",IF(L45&gt;=40,"High",IF(L45&gt;=15,"Medium","Low"))))</f>
        <v/>
      </c>
      <c r="N45" s="10" t="n"/>
      <c r="O45" s="11" t="n"/>
      <c r="P45" s="7">
        <f>IF(OR(N45="",O45=""),"",N45*O45)</f>
        <v/>
      </c>
      <c r="Q45" s="8">
        <f>IF(OR(N45="",K45=""),"",N45*(1-K45))</f>
        <v/>
      </c>
      <c r="R45" s="7">
        <f>IF(OR(Q45="",O45=""),"",Q45*O45)</f>
        <v/>
      </c>
      <c r="S45" s="7">
        <f>IF(OR(P45="",R45=""),"",P45-R45)</f>
        <v/>
      </c>
      <c r="T45" s="9" t="n"/>
      <c r="U45" s="9" t="n"/>
      <c r="V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4">
        <f>IF(COUNTA(E46:G46)&lt;3,"",E46*F46*G46)</f>
        <v/>
      </c>
      <c r="I46" s="4">
        <f>IF(H46="","",IF(H46&gt;=75,"Critical",IF(H46&gt;=40,"High",IF(H46&gt;=15,"Medium","Low"))))</f>
        <v/>
      </c>
      <c r="J46" s="9" t="n"/>
      <c r="K46" s="10" t="n"/>
      <c r="L46" s="4">
        <f>IF(OR(H46="",K46=""),"",ROUND(H46*(1-K46),0))</f>
        <v/>
      </c>
      <c r="M46" s="4">
        <f>IF(L46="","",IF(L46&gt;=75,"Critical",IF(L46&gt;=40,"High",IF(L46&gt;=15,"Medium","Low"))))</f>
        <v/>
      </c>
      <c r="N46" s="10" t="n"/>
      <c r="O46" s="11" t="n"/>
      <c r="P46" s="7">
        <f>IF(OR(N46="",O46=""),"",N46*O46)</f>
        <v/>
      </c>
      <c r="Q46" s="8">
        <f>IF(OR(N46="",K46=""),"",N46*(1-K46))</f>
        <v/>
      </c>
      <c r="R46" s="7">
        <f>IF(OR(Q46="",O46=""),"",Q46*O46)</f>
        <v/>
      </c>
      <c r="S46" s="7">
        <f>IF(OR(P46="",R46=""),"",P46-R46)</f>
        <v/>
      </c>
      <c r="T46" s="9" t="n"/>
      <c r="U46" s="9" t="n"/>
      <c r="V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4">
        <f>IF(COUNTA(E47:G47)&lt;3,"",E47*F47*G47)</f>
        <v/>
      </c>
      <c r="I47" s="4">
        <f>IF(H47="","",IF(H47&gt;=75,"Critical",IF(H47&gt;=40,"High",IF(H47&gt;=15,"Medium","Low"))))</f>
        <v/>
      </c>
      <c r="J47" s="9" t="n"/>
      <c r="K47" s="10" t="n"/>
      <c r="L47" s="4">
        <f>IF(OR(H47="",K47=""),"",ROUND(H47*(1-K47),0))</f>
        <v/>
      </c>
      <c r="M47" s="4">
        <f>IF(L47="","",IF(L47&gt;=75,"Critical",IF(L47&gt;=40,"High",IF(L47&gt;=15,"Medium","Low"))))</f>
        <v/>
      </c>
      <c r="N47" s="10" t="n"/>
      <c r="O47" s="11" t="n"/>
      <c r="P47" s="7">
        <f>IF(OR(N47="",O47=""),"",N47*O47)</f>
        <v/>
      </c>
      <c r="Q47" s="8">
        <f>IF(OR(N47="",K47=""),"",N47*(1-K47))</f>
        <v/>
      </c>
      <c r="R47" s="7">
        <f>IF(OR(Q47="",O47=""),"",Q47*O47)</f>
        <v/>
      </c>
      <c r="S47" s="7">
        <f>IF(OR(P47="",R47=""),"",P47-R47)</f>
        <v/>
      </c>
      <c r="T47" s="9" t="n"/>
      <c r="U47" s="9" t="n"/>
      <c r="V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4">
        <f>IF(COUNTA(E48:G48)&lt;3,"",E48*F48*G48)</f>
        <v/>
      </c>
      <c r="I48" s="4">
        <f>IF(H48="","",IF(H48&gt;=75,"Critical",IF(H48&gt;=40,"High",IF(H48&gt;=15,"Medium","Low"))))</f>
        <v/>
      </c>
      <c r="J48" s="9" t="n"/>
      <c r="K48" s="10" t="n"/>
      <c r="L48" s="4">
        <f>IF(OR(H48="",K48=""),"",ROUND(H48*(1-K48),0))</f>
        <v/>
      </c>
      <c r="M48" s="4">
        <f>IF(L48="","",IF(L48&gt;=75,"Critical",IF(L48&gt;=40,"High",IF(L48&gt;=15,"Medium","Low"))))</f>
        <v/>
      </c>
      <c r="N48" s="10" t="n"/>
      <c r="O48" s="11" t="n"/>
      <c r="P48" s="7">
        <f>IF(OR(N48="",O48=""),"",N48*O48)</f>
        <v/>
      </c>
      <c r="Q48" s="8">
        <f>IF(OR(N48="",K48=""),"",N48*(1-K48))</f>
        <v/>
      </c>
      <c r="R48" s="7">
        <f>IF(OR(Q48="",O48=""),"",Q48*O48)</f>
        <v/>
      </c>
      <c r="S48" s="7">
        <f>IF(OR(P48="",R48=""),"",P48-R48)</f>
        <v/>
      </c>
      <c r="T48" s="9" t="n"/>
      <c r="U48" s="9" t="n"/>
      <c r="V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4">
        <f>IF(COUNTA(E49:G49)&lt;3,"",E49*F49*G49)</f>
        <v/>
      </c>
      <c r="I49" s="4">
        <f>IF(H49="","",IF(H49&gt;=75,"Critical",IF(H49&gt;=40,"High",IF(H49&gt;=15,"Medium","Low"))))</f>
        <v/>
      </c>
      <c r="J49" s="9" t="n"/>
      <c r="K49" s="10" t="n"/>
      <c r="L49" s="4">
        <f>IF(OR(H49="",K49=""),"",ROUND(H49*(1-K49),0))</f>
        <v/>
      </c>
      <c r="M49" s="4">
        <f>IF(L49="","",IF(L49&gt;=75,"Critical",IF(L49&gt;=40,"High",IF(L49&gt;=15,"Medium","Low"))))</f>
        <v/>
      </c>
      <c r="N49" s="10" t="n"/>
      <c r="O49" s="11" t="n"/>
      <c r="P49" s="7">
        <f>IF(OR(N49="",O49=""),"",N49*O49)</f>
        <v/>
      </c>
      <c r="Q49" s="8">
        <f>IF(OR(N49="",K49=""),"",N49*(1-K49))</f>
        <v/>
      </c>
      <c r="R49" s="7">
        <f>IF(OR(Q49="",O49=""),"",Q49*O49)</f>
        <v/>
      </c>
      <c r="S49" s="7">
        <f>IF(OR(P49="",R49=""),"",P49-R49)</f>
        <v/>
      </c>
      <c r="T49" s="9" t="n"/>
      <c r="U49" s="9" t="n"/>
      <c r="V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4">
        <f>IF(COUNTA(E50:G50)&lt;3,"",E50*F50*G50)</f>
        <v/>
      </c>
      <c r="I50" s="4">
        <f>IF(H50="","",IF(H50&gt;=75,"Critical",IF(H50&gt;=40,"High",IF(H50&gt;=15,"Medium","Low"))))</f>
        <v/>
      </c>
      <c r="J50" s="9" t="n"/>
      <c r="K50" s="10" t="n"/>
      <c r="L50" s="4">
        <f>IF(OR(H50="",K50=""),"",ROUND(H50*(1-K50),0))</f>
        <v/>
      </c>
      <c r="M50" s="4">
        <f>IF(L50="","",IF(L50&gt;=75,"Critical",IF(L50&gt;=40,"High",IF(L50&gt;=15,"Medium","Low"))))</f>
        <v/>
      </c>
      <c r="N50" s="10" t="n"/>
      <c r="O50" s="11" t="n"/>
      <c r="P50" s="7">
        <f>IF(OR(N50="",O50=""),"",N50*O50)</f>
        <v/>
      </c>
      <c r="Q50" s="8">
        <f>IF(OR(N50="",K50=""),"",N50*(1-K50))</f>
        <v/>
      </c>
      <c r="R50" s="7">
        <f>IF(OR(Q50="",O50=""),"",Q50*O50)</f>
        <v/>
      </c>
      <c r="S50" s="7">
        <f>IF(OR(P50="",R50=""),"",P50-R50)</f>
        <v/>
      </c>
      <c r="T50" s="9" t="n"/>
      <c r="U50" s="9" t="n"/>
      <c r="V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4">
        <f>IF(COUNTA(E51:G51)&lt;3,"",E51*F51*G51)</f>
        <v/>
      </c>
      <c r="I51" s="4">
        <f>IF(H51="","",IF(H51&gt;=75,"Critical",IF(H51&gt;=40,"High",IF(H51&gt;=15,"Medium","Low"))))</f>
        <v/>
      </c>
      <c r="J51" s="9" t="n"/>
      <c r="K51" s="10" t="n"/>
      <c r="L51" s="4">
        <f>IF(OR(H51="",K51=""),"",ROUND(H51*(1-K51),0))</f>
        <v/>
      </c>
      <c r="M51" s="4">
        <f>IF(L51="","",IF(L51&gt;=75,"Critical",IF(L51&gt;=40,"High",IF(L51&gt;=15,"Medium","Low"))))</f>
        <v/>
      </c>
      <c r="N51" s="10" t="n"/>
      <c r="O51" s="11" t="n"/>
      <c r="P51" s="7">
        <f>IF(OR(N51="",O51=""),"",N51*O51)</f>
        <v/>
      </c>
      <c r="Q51" s="8">
        <f>IF(OR(N51="",K51=""),"",N51*(1-K51))</f>
        <v/>
      </c>
      <c r="R51" s="7">
        <f>IF(OR(Q51="",O51=""),"",Q51*O51)</f>
        <v/>
      </c>
      <c r="S51" s="7">
        <f>IF(OR(P51="",R51=""),"",P51-R51)</f>
        <v/>
      </c>
      <c r="T51" s="9" t="n"/>
      <c r="U51" s="9" t="n"/>
      <c r="V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4">
        <f>IF(COUNTA(E52:G52)&lt;3,"",E52*F52*G52)</f>
        <v/>
      </c>
      <c r="I52" s="4">
        <f>IF(H52="","",IF(H52&gt;=75,"Critical",IF(H52&gt;=40,"High",IF(H52&gt;=15,"Medium","Low"))))</f>
        <v/>
      </c>
      <c r="J52" s="9" t="n"/>
      <c r="K52" s="10" t="n"/>
      <c r="L52" s="4">
        <f>IF(OR(H52="",K52=""),"",ROUND(H52*(1-K52),0))</f>
        <v/>
      </c>
      <c r="M52" s="4">
        <f>IF(L52="","",IF(L52&gt;=75,"Critical",IF(L52&gt;=40,"High",IF(L52&gt;=15,"Medium","Low"))))</f>
        <v/>
      </c>
      <c r="N52" s="10" t="n"/>
      <c r="O52" s="11" t="n"/>
      <c r="P52" s="7">
        <f>IF(OR(N52="",O52=""),"",N52*O52)</f>
        <v/>
      </c>
      <c r="Q52" s="8">
        <f>IF(OR(N52="",K52=""),"",N52*(1-K52))</f>
        <v/>
      </c>
      <c r="R52" s="7">
        <f>IF(OR(Q52="",O52=""),"",Q52*O52)</f>
        <v/>
      </c>
      <c r="S52" s="7">
        <f>IF(OR(P52="",R52=""),"",P52-R52)</f>
        <v/>
      </c>
      <c r="T52" s="9" t="n"/>
      <c r="U52" s="9" t="n"/>
      <c r="V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4">
        <f>IF(COUNTA(E53:G53)&lt;3,"",E53*F53*G53)</f>
        <v/>
      </c>
      <c r="I53" s="4">
        <f>IF(H53="","",IF(H53&gt;=75,"Critical",IF(H53&gt;=40,"High",IF(H53&gt;=15,"Medium","Low"))))</f>
        <v/>
      </c>
      <c r="J53" s="9" t="n"/>
      <c r="K53" s="10" t="n"/>
      <c r="L53" s="4">
        <f>IF(OR(H53="",K53=""),"",ROUND(H53*(1-K53),0))</f>
        <v/>
      </c>
      <c r="M53" s="4">
        <f>IF(L53="","",IF(L53&gt;=75,"Critical",IF(L53&gt;=40,"High",IF(L53&gt;=15,"Medium","Low"))))</f>
        <v/>
      </c>
      <c r="N53" s="10" t="n"/>
      <c r="O53" s="11" t="n"/>
      <c r="P53" s="7">
        <f>IF(OR(N53="",O53=""),"",N53*O53)</f>
        <v/>
      </c>
      <c r="Q53" s="8">
        <f>IF(OR(N53="",K53=""),"",N53*(1-K53))</f>
        <v/>
      </c>
      <c r="R53" s="7">
        <f>IF(OR(Q53="",O53=""),"",Q53*O53)</f>
        <v/>
      </c>
      <c r="S53" s="7">
        <f>IF(OR(P53="",R53=""),"",P53-R53)</f>
        <v/>
      </c>
      <c r="T53" s="9" t="n"/>
      <c r="U53" s="9" t="n"/>
      <c r="V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4">
        <f>IF(COUNTA(E54:G54)&lt;3,"",E54*F54*G54)</f>
        <v/>
      </c>
      <c r="I54" s="4">
        <f>IF(H54="","",IF(H54&gt;=75,"Critical",IF(H54&gt;=40,"High",IF(H54&gt;=15,"Medium","Low"))))</f>
        <v/>
      </c>
      <c r="J54" s="9" t="n"/>
      <c r="K54" s="10" t="n"/>
      <c r="L54" s="4">
        <f>IF(OR(H54="",K54=""),"",ROUND(H54*(1-K54),0))</f>
        <v/>
      </c>
      <c r="M54" s="4">
        <f>IF(L54="","",IF(L54&gt;=75,"Critical",IF(L54&gt;=40,"High",IF(L54&gt;=15,"Medium","Low"))))</f>
        <v/>
      </c>
      <c r="N54" s="10" t="n"/>
      <c r="O54" s="11" t="n"/>
      <c r="P54" s="7">
        <f>IF(OR(N54="",O54=""),"",N54*O54)</f>
        <v/>
      </c>
      <c r="Q54" s="8">
        <f>IF(OR(N54="",K54=""),"",N54*(1-K54))</f>
        <v/>
      </c>
      <c r="R54" s="7">
        <f>IF(OR(Q54="",O54=""),"",Q54*O54)</f>
        <v/>
      </c>
      <c r="S54" s="7">
        <f>IF(OR(P54="",R54=""),"",P54-R54)</f>
        <v/>
      </c>
      <c r="T54" s="9" t="n"/>
      <c r="U54" s="9" t="n"/>
      <c r="V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4">
        <f>IF(COUNTA(E55:G55)&lt;3,"",E55*F55*G55)</f>
        <v/>
      </c>
      <c r="I55" s="4">
        <f>IF(H55="","",IF(H55&gt;=75,"Critical",IF(H55&gt;=40,"High",IF(H55&gt;=15,"Medium","Low"))))</f>
        <v/>
      </c>
      <c r="J55" s="9" t="n"/>
      <c r="K55" s="10" t="n"/>
      <c r="L55" s="4">
        <f>IF(OR(H55="",K55=""),"",ROUND(H55*(1-K55),0))</f>
        <v/>
      </c>
      <c r="M55" s="4">
        <f>IF(L55="","",IF(L55&gt;=75,"Critical",IF(L55&gt;=40,"High",IF(L55&gt;=15,"Medium","Low"))))</f>
        <v/>
      </c>
      <c r="N55" s="10" t="n"/>
      <c r="O55" s="11" t="n"/>
      <c r="P55" s="7">
        <f>IF(OR(N55="",O55=""),"",N55*O55)</f>
        <v/>
      </c>
      <c r="Q55" s="8">
        <f>IF(OR(N55="",K55=""),"",N55*(1-K55))</f>
        <v/>
      </c>
      <c r="R55" s="7">
        <f>IF(OR(Q55="",O55=""),"",Q55*O55)</f>
        <v/>
      </c>
      <c r="S55" s="7">
        <f>IF(OR(P55="",R55=""),"",P55-R55)</f>
        <v/>
      </c>
      <c r="T55" s="9" t="n"/>
      <c r="U55" s="9" t="n"/>
      <c r="V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4">
        <f>IF(COUNTA(E56:G56)&lt;3,"",E56*F56*G56)</f>
        <v/>
      </c>
      <c r="I56" s="4">
        <f>IF(H56="","",IF(H56&gt;=75,"Critical",IF(H56&gt;=40,"High",IF(H56&gt;=15,"Medium","Low"))))</f>
        <v/>
      </c>
      <c r="J56" s="9" t="n"/>
      <c r="K56" s="10" t="n"/>
      <c r="L56" s="4">
        <f>IF(OR(H56="",K56=""),"",ROUND(H56*(1-K56),0))</f>
        <v/>
      </c>
      <c r="M56" s="4">
        <f>IF(L56="","",IF(L56&gt;=75,"Critical",IF(L56&gt;=40,"High",IF(L56&gt;=15,"Medium","Low"))))</f>
        <v/>
      </c>
      <c r="N56" s="10" t="n"/>
      <c r="O56" s="11" t="n"/>
      <c r="P56" s="7">
        <f>IF(OR(N56="",O56=""),"",N56*O56)</f>
        <v/>
      </c>
      <c r="Q56" s="8">
        <f>IF(OR(N56="",K56=""),"",N56*(1-K56))</f>
        <v/>
      </c>
      <c r="R56" s="7">
        <f>IF(OR(Q56="",O56=""),"",Q56*O56)</f>
        <v/>
      </c>
      <c r="S56" s="7">
        <f>IF(OR(P56="",R56=""),"",P56-R56)</f>
        <v/>
      </c>
      <c r="T56" s="9" t="n"/>
      <c r="U56" s="9" t="n"/>
      <c r="V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4">
        <f>IF(COUNTA(E57:G57)&lt;3,"",E57*F57*G57)</f>
        <v/>
      </c>
      <c r="I57" s="4">
        <f>IF(H57="","",IF(H57&gt;=75,"Critical",IF(H57&gt;=40,"High",IF(H57&gt;=15,"Medium","Low"))))</f>
        <v/>
      </c>
      <c r="J57" s="9" t="n"/>
      <c r="K57" s="10" t="n"/>
      <c r="L57" s="4">
        <f>IF(OR(H57="",K57=""),"",ROUND(H57*(1-K57),0))</f>
        <v/>
      </c>
      <c r="M57" s="4">
        <f>IF(L57="","",IF(L57&gt;=75,"Critical",IF(L57&gt;=40,"High",IF(L57&gt;=15,"Medium","Low"))))</f>
        <v/>
      </c>
      <c r="N57" s="10" t="n"/>
      <c r="O57" s="11" t="n"/>
      <c r="P57" s="7">
        <f>IF(OR(N57="",O57=""),"",N57*O57)</f>
        <v/>
      </c>
      <c r="Q57" s="8">
        <f>IF(OR(N57="",K57=""),"",N57*(1-K57))</f>
        <v/>
      </c>
      <c r="R57" s="7">
        <f>IF(OR(Q57="",O57=""),"",Q57*O57)</f>
        <v/>
      </c>
      <c r="S57" s="7">
        <f>IF(OR(P57="",R57=""),"",P57-R57)</f>
        <v/>
      </c>
      <c r="T57" s="9" t="n"/>
      <c r="U57" s="9" t="n"/>
      <c r="V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4">
        <f>IF(COUNTA(E58:G58)&lt;3,"",E58*F58*G58)</f>
        <v/>
      </c>
      <c r="I58" s="4">
        <f>IF(H58="","",IF(H58&gt;=75,"Critical",IF(H58&gt;=40,"High",IF(H58&gt;=15,"Medium","Low"))))</f>
        <v/>
      </c>
      <c r="J58" s="9" t="n"/>
      <c r="K58" s="10" t="n"/>
      <c r="L58" s="4">
        <f>IF(OR(H58="",K58=""),"",ROUND(H58*(1-K58),0))</f>
        <v/>
      </c>
      <c r="M58" s="4">
        <f>IF(L58="","",IF(L58&gt;=75,"Critical",IF(L58&gt;=40,"High",IF(L58&gt;=15,"Medium","Low"))))</f>
        <v/>
      </c>
      <c r="N58" s="10" t="n"/>
      <c r="O58" s="11" t="n"/>
      <c r="P58" s="7">
        <f>IF(OR(N58="",O58=""),"",N58*O58)</f>
        <v/>
      </c>
      <c r="Q58" s="8">
        <f>IF(OR(N58="",K58=""),"",N58*(1-K58))</f>
        <v/>
      </c>
      <c r="R58" s="7">
        <f>IF(OR(Q58="",O58=""),"",Q58*O58)</f>
        <v/>
      </c>
      <c r="S58" s="7">
        <f>IF(OR(P58="",R58=""),"",P58-R58)</f>
        <v/>
      </c>
      <c r="T58" s="9" t="n"/>
      <c r="U58" s="9" t="n"/>
      <c r="V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4">
        <f>IF(COUNTA(E59:G59)&lt;3,"",E59*F59*G59)</f>
        <v/>
      </c>
      <c r="I59" s="4">
        <f>IF(H59="","",IF(H59&gt;=75,"Critical",IF(H59&gt;=40,"High",IF(H59&gt;=15,"Medium","Low"))))</f>
        <v/>
      </c>
      <c r="J59" s="9" t="n"/>
      <c r="K59" s="10" t="n"/>
      <c r="L59" s="4">
        <f>IF(OR(H59="",K59=""),"",ROUND(H59*(1-K59),0))</f>
        <v/>
      </c>
      <c r="M59" s="4">
        <f>IF(L59="","",IF(L59&gt;=75,"Critical",IF(L59&gt;=40,"High",IF(L59&gt;=15,"Medium","Low"))))</f>
        <v/>
      </c>
      <c r="N59" s="10" t="n"/>
      <c r="O59" s="11" t="n"/>
      <c r="P59" s="7">
        <f>IF(OR(N59="",O59=""),"",N59*O59)</f>
        <v/>
      </c>
      <c r="Q59" s="8">
        <f>IF(OR(N59="",K59=""),"",N59*(1-K59))</f>
        <v/>
      </c>
      <c r="R59" s="7">
        <f>IF(OR(Q59="",O59=""),"",Q59*O59)</f>
        <v/>
      </c>
      <c r="S59" s="7">
        <f>IF(OR(P59="",R59=""),"",P59-R59)</f>
        <v/>
      </c>
      <c r="T59" s="9" t="n"/>
      <c r="U59" s="9" t="n"/>
      <c r="V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4">
        <f>IF(COUNTA(E60:G60)&lt;3,"",E60*F60*G60)</f>
        <v/>
      </c>
      <c r="I60" s="4">
        <f>IF(H60="","",IF(H60&gt;=75,"Critical",IF(H60&gt;=40,"High",IF(H60&gt;=15,"Medium","Low"))))</f>
        <v/>
      </c>
      <c r="J60" s="9" t="n"/>
      <c r="K60" s="10" t="n"/>
      <c r="L60" s="4">
        <f>IF(OR(H60="",K60=""),"",ROUND(H60*(1-K60),0))</f>
        <v/>
      </c>
      <c r="M60" s="4">
        <f>IF(L60="","",IF(L60&gt;=75,"Critical",IF(L60&gt;=40,"High",IF(L60&gt;=15,"Medium","Low"))))</f>
        <v/>
      </c>
      <c r="N60" s="10" t="n"/>
      <c r="O60" s="11" t="n"/>
      <c r="P60" s="7">
        <f>IF(OR(N60="",O60=""),"",N60*O60)</f>
        <v/>
      </c>
      <c r="Q60" s="8">
        <f>IF(OR(N60="",K60=""),"",N60*(1-K60))</f>
        <v/>
      </c>
      <c r="R60" s="7">
        <f>IF(OR(Q60="",O60=""),"",Q60*O60)</f>
        <v/>
      </c>
      <c r="S60" s="7">
        <f>IF(OR(P60="",R60=""),"",P60-R60)</f>
        <v/>
      </c>
      <c r="T60" s="9" t="n"/>
      <c r="U60" s="9" t="n"/>
      <c r="V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4">
        <f>IF(COUNTA(E61:G61)&lt;3,"",E61*F61*G61)</f>
        <v/>
      </c>
      <c r="I61" s="4">
        <f>IF(H61="","",IF(H61&gt;=75,"Critical",IF(H61&gt;=40,"High",IF(H61&gt;=15,"Medium","Low"))))</f>
        <v/>
      </c>
      <c r="J61" s="9" t="n"/>
      <c r="K61" s="10" t="n"/>
      <c r="L61" s="4">
        <f>IF(OR(H61="",K61=""),"",ROUND(H61*(1-K61),0))</f>
        <v/>
      </c>
      <c r="M61" s="4">
        <f>IF(L61="","",IF(L61&gt;=75,"Critical",IF(L61&gt;=40,"High",IF(L61&gt;=15,"Medium","Low"))))</f>
        <v/>
      </c>
      <c r="N61" s="10" t="n"/>
      <c r="O61" s="11" t="n"/>
      <c r="P61" s="7">
        <f>IF(OR(N61="",O61=""),"",N61*O61)</f>
        <v/>
      </c>
      <c r="Q61" s="8">
        <f>IF(OR(N61="",K61=""),"",N61*(1-K61))</f>
        <v/>
      </c>
      <c r="R61" s="7">
        <f>IF(OR(Q61="",O61=""),"",Q61*O61)</f>
        <v/>
      </c>
      <c r="S61" s="7">
        <f>IF(OR(P61="",R61=""),"",P61-R61)</f>
        <v/>
      </c>
      <c r="T61" s="9" t="n"/>
      <c r="U61" s="9" t="n"/>
      <c r="V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4">
        <f>IF(COUNTA(E62:G62)&lt;3,"",E62*F62*G62)</f>
        <v/>
      </c>
      <c r="I62" s="4">
        <f>IF(H62="","",IF(H62&gt;=75,"Critical",IF(H62&gt;=40,"High",IF(H62&gt;=15,"Medium","Low"))))</f>
        <v/>
      </c>
      <c r="J62" s="9" t="n"/>
      <c r="K62" s="10" t="n"/>
      <c r="L62" s="4">
        <f>IF(OR(H62="",K62=""),"",ROUND(H62*(1-K62),0))</f>
        <v/>
      </c>
      <c r="M62" s="4">
        <f>IF(L62="","",IF(L62&gt;=75,"Critical",IF(L62&gt;=40,"High",IF(L62&gt;=15,"Medium","Low"))))</f>
        <v/>
      </c>
      <c r="N62" s="10" t="n"/>
      <c r="O62" s="11" t="n"/>
      <c r="P62" s="7">
        <f>IF(OR(N62="",O62=""),"",N62*O62)</f>
        <v/>
      </c>
      <c r="Q62" s="8">
        <f>IF(OR(N62="",K62=""),"",N62*(1-K62))</f>
        <v/>
      </c>
      <c r="R62" s="7">
        <f>IF(OR(Q62="",O62=""),"",Q62*O62)</f>
        <v/>
      </c>
      <c r="S62" s="7">
        <f>IF(OR(P62="",R62=""),"",P62-R62)</f>
        <v/>
      </c>
      <c r="T62" s="9" t="n"/>
      <c r="U62" s="9" t="n"/>
      <c r="V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4">
        <f>IF(COUNTA(E63:G63)&lt;3,"",E63*F63*G63)</f>
        <v/>
      </c>
      <c r="I63" s="4">
        <f>IF(H63="","",IF(H63&gt;=75,"Critical",IF(H63&gt;=40,"High",IF(H63&gt;=15,"Medium","Low"))))</f>
        <v/>
      </c>
      <c r="J63" s="9" t="n"/>
      <c r="K63" s="10" t="n"/>
      <c r="L63" s="4">
        <f>IF(OR(H63="",K63=""),"",ROUND(H63*(1-K63),0))</f>
        <v/>
      </c>
      <c r="M63" s="4">
        <f>IF(L63="","",IF(L63&gt;=75,"Critical",IF(L63&gt;=40,"High",IF(L63&gt;=15,"Medium","Low"))))</f>
        <v/>
      </c>
      <c r="N63" s="10" t="n"/>
      <c r="O63" s="11" t="n"/>
      <c r="P63" s="7">
        <f>IF(OR(N63="",O63=""),"",N63*O63)</f>
        <v/>
      </c>
      <c r="Q63" s="8">
        <f>IF(OR(N63="",K63=""),"",N63*(1-K63))</f>
        <v/>
      </c>
      <c r="R63" s="7">
        <f>IF(OR(Q63="",O63=""),"",Q63*O63)</f>
        <v/>
      </c>
      <c r="S63" s="7">
        <f>IF(OR(P63="",R63=""),"",P63-R63)</f>
        <v/>
      </c>
      <c r="T63" s="9" t="n"/>
      <c r="U63" s="9" t="n"/>
      <c r="V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4">
        <f>IF(COUNTA(E64:G64)&lt;3,"",E64*F64*G64)</f>
        <v/>
      </c>
      <c r="I64" s="4">
        <f>IF(H64="","",IF(H64&gt;=75,"Critical",IF(H64&gt;=40,"High",IF(H64&gt;=15,"Medium","Low"))))</f>
        <v/>
      </c>
      <c r="J64" s="9" t="n"/>
      <c r="K64" s="10" t="n"/>
      <c r="L64" s="4">
        <f>IF(OR(H64="",K64=""),"",ROUND(H64*(1-K64),0))</f>
        <v/>
      </c>
      <c r="M64" s="4">
        <f>IF(L64="","",IF(L64&gt;=75,"Critical",IF(L64&gt;=40,"High",IF(L64&gt;=15,"Medium","Low"))))</f>
        <v/>
      </c>
      <c r="N64" s="10" t="n"/>
      <c r="O64" s="11" t="n"/>
      <c r="P64" s="7">
        <f>IF(OR(N64="",O64=""),"",N64*O64)</f>
        <v/>
      </c>
      <c r="Q64" s="8">
        <f>IF(OR(N64="",K64=""),"",N64*(1-K64))</f>
        <v/>
      </c>
      <c r="R64" s="7">
        <f>IF(OR(Q64="",O64=""),"",Q64*O64)</f>
        <v/>
      </c>
      <c r="S64" s="7">
        <f>IF(OR(P64="",R64=""),"",P64-R64)</f>
        <v/>
      </c>
      <c r="T64" s="9" t="n"/>
      <c r="U64" s="9" t="n"/>
      <c r="V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4">
        <f>IF(COUNTA(E65:G65)&lt;3,"",E65*F65*G65)</f>
        <v/>
      </c>
      <c r="I65" s="4">
        <f>IF(H65="","",IF(H65&gt;=75,"Critical",IF(H65&gt;=40,"High",IF(H65&gt;=15,"Medium","Low"))))</f>
        <v/>
      </c>
      <c r="J65" s="9" t="n"/>
      <c r="K65" s="10" t="n"/>
      <c r="L65" s="4">
        <f>IF(OR(H65="",K65=""),"",ROUND(H65*(1-K65),0))</f>
        <v/>
      </c>
      <c r="M65" s="4">
        <f>IF(L65="","",IF(L65&gt;=75,"Critical",IF(L65&gt;=40,"High",IF(L65&gt;=15,"Medium","Low"))))</f>
        <v/>
      </c>
      <c r="N65" s="10" t="n"/>
      <c r="O65" s="11" t="n"/>
      <c r="P65" s="7">
        <f>IF(OR(N65="",O65=""),"",N65*O65)</f>
        <v/>
      </c>
      <c r="Q65" s="8">
        <f>IF(OR(N65="",K65=""),"",N65*(1-K65))</f>
        <v/>
      </c>
      <c r="R65" s="7">
        <f>IF(OR(Q65="",O65=""),"",Q65*O65)</f>
        <v/>
      </c>
      <c r="S65" s="7">
        <f>IF(OR(P65="",R65=""),"",P65-R65)</f>
        <v/>
      </c>
      <c r="T65" s="9" t="n"/>
      <c r="U65" s="9" t="n"/>
      <c r="V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4">
        <f>IF(COUNTA(E66:G66)&lt;3,"",E66*F66*G66)</f>
        <v/>
      </c>
      <c r="I66" s="4">
        <f>IF(H66="","",IF(H66&gt;=75,"Critical",IF(H66&gt;=40,"High",IF(H66&gt;=15,"Medium","Low"))))</f>
        <v/>
      </c>
      <c r="J66" s="9" t="n"/>
      <c r="K66" s="10" t="n"/>
      <c r="L66" s="4">
        <f>IF(OR(H66="",K66=""),"",ROUND(H66*(1-K66),0))</f>
        <v/>
      </c>
      <c r="M66" s="4">
        <f>IF(L66="","",IF(L66&gt;=75,"Critical",IF(L66&gt;=40,"High",IF(L66&gt;=15,"Medium","Low"))))</f>
        <v/>
      </c>
      <c r="N66" s="10" t="n"/>
      <c r="O66" s="11" t="n"/>
      <c r="P66" s="7">
        <f>IF(OR(N66="",O66=""),"",N66*O66)</f>
        <v/>
      </c>
      <c r="Q66" s="8">
        <f>IF(OR(N66="",K66=""),"",N66*(1-K66))</f>
        <v/>
      </c>
      <c r="R66" s="7">
        <f>IF(OR(Q66="",O66=""),"",Q66*O66)</f>
        <v/>
      </c>
      <c r="S66" s="7">
        <f>IF(OR(P66="",R66=""),"",P66-R66)</f>
        <v/>
      </c>
      <c r="T66" s="9" t="n"/>
      <c r="U66" s="9" t="n"/>
      <c r="V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4">
        <f>IF(COUNTA(E67:G67)&lt;3,"",E67*F67*G67)</f>
        <v/>
      </c>
      <c r="I67" s="4">
        <f>IF(H67="","",IF(H67&gt;=75,"Critical",IF(H67&gt;=40,"High",IF(H67&gt;=15,"Medium","Low"))))</f>
        <v/>
      </c>
      <c r="J67" s="9" t="n"/>
      <c r="K67" s="10" t="n"/>
      <c r="L67" s="4">
        <f>IF(OR(H67="",K67=""),"",ROUND(H67*(1-K67),0))</f>
        <v/>
      </c>
      <c r="M67" s="4">
        <f>IF(L67="","",IF(L67&gt;=75,"Critical",IF(L67&gt;=40,"High",IF(L67&gt;=15,"Medium","Low"))))</f>
        <v/>
      </c>
      <c r="N67" s="10" t="n"/>
      <c r="O67" s="11" t="n"/>
      <c r="P67" s="7">
        <f>IF(OR(N67="",O67=""),"",N67*O67)</f>
        <v/>
      </c>
      <c r="Q67" s="8">
        <f>IF(OR(N67="",K67=""),"",N67*(1-K67))</f>
        <v/>
      </c>
      <c r="R67" s="7">
        <f>IF(OR(Q67="",O67=""),"",Q67*O67)</f>
        <v/>
      </c>
      <c r="S67" s="7">
        <f>IF(OR(P67="",R67=""),"",P67-R67)</f>
        <v/>
      </c>
      <c r="T67" s="9" t="n"/>
      <c r="U67" s="9" t="n"/>
      <c r="V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4">
        <f>IF(COUNTA(E68:G68)&lt;3,"",E68*F68*G68)</f>
        <v/>
      </c>
      <c r="I68" s="4">
        <f>IF(H68="","",IF(H68&gt;=75,"Critical",IF(H68&gt;=40,"High",IF(H68&gt;=15,"Medium","Low"))))</f>
        <v/>
      </c>
      <c r="J68" s="9" t="n"/>
      <c r="K68" s="10" t="n"/>
      <c r="L68" s="4">
        <f>IF(OR(H68="",K68=""),"",ROUND(H68*(1-K68),0))</f>
        <v/>
      </c>
      <c r="M68" s="4">
        <f>IF(L68="","",IF(L68&gt;=75,"Critical",IF(L68&gt;=40,"High",IF(L68&gt;=15,"Medium","Low"))))</f>
        <v/>
      </c>
      <c r="N68" s="10" t="n"/>
      <c r="O68" s="11" t="n"/>
      <c r="P68" s="7">
        <f>IF(OR(N68="",O68=""),"",N68*O68)</f>
        <v/>
      </c>
      <c r="Q68" s="8">
        <f>IF(OR(N68="",K68=""),"",N68*(1-K68))</f>
        <v/>
      </c>
      <c r="R68" s="7">
        <f>IF(OR(Q68="",O68=""),"",Q68*O68)</f>
        <v/>
      </c>
      <c r="S68" s="7">
        <f>IF(OR(P68="",R68=""),"",P68-R68)</f>
        <v/>
      </c>
      <c r="T68" s="9" t="n"/>
      <c r="U68" s="9" t="n"/>
      <c r="V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4">
        <f>IF(COUNTA(E69:G69)&lt;3,"",E69*F69*G69)</f>
        <v/>
      </c>
      <c r="I69" s="4">
        <f>IF(H69="","",IF(H69&gt;=75,"Critical",IF(H69&gt;=40,"High",IF(H69&gt;=15,"Medium","Low"))))</f>
        <v/>
      </c>
      <c r="J69" s="9" t="n"/>
      <c r="K69" s="10" t="n"/>
      <c r="L69" s="4">
        <f>IF(OR(H69="",K69=""),"",ROUND(H69*(1-K69),0))</f>
        <v/>
      </c>
      <c r="M69" s="4">
        <f>IF(L69="","",IF(L69&gt;=75,"Critical",IF(L69&gt;=40,"High",IF(L69&gt;=15,"Medium","Low"))))</f>
        <v/>
      </c>
      <c r="N69" s="10" t="n"/>
      <c r="O69" s="11" t="n"/>
      <c r="P69" s="7">
        <f>IF(OR(N69="",O69=""),"",N69*O69)</f>
        <v/>
      </c>
      <c r="Q69" s="8">
        <f>IF(OR(N69="",K69=""),"",N69*(1-K69))</f>
        <v/>
      </c>
      <c r="R69" s="7">
        <f>IF(OR(Q69="",O69=""),"",Q69*O69)</f>
        <v/>
      </c>
      <c r="S69" s="7">
        <f>IF(OR(P69="",R69=""),"",P69-R69)</f>
        <v/>
      </c>
      <c r="T69" s="9" t="n"/>
      <c r="U69" s="9" t="n"/>
      <c r="V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4">
        <f>IF(COUNTA(E70:G70)&lt;3,"",E70*F70*G70)</f>
        <v/>
      </c>
      <c r="I70" s="4">
        <f>IF(H70="","",IF(H70&gt;=75,"Critical",IF(H70&gt;=40,"High",IF(H70&gt;=15,"Medium","Low"))))</f>
        <v/>
      </c>
      <c r="J70" s="9" t="n"/>
      <c r="K70" s="10" t="n"/>
      <c r="L70" s="4">
        <f>IF(OR(H70="",K70=""),"",ROUND(H70*(1-K70),0))</f>
        <v/>
      </c>
      <c r="M70" s="4">
        <f>IF(L70="","",IF(L70&gt;=75,"Critical",IF(L70&gt;=40,"High",IF(L70&gt;=15,"Medium","Low"))))</f>
        <v/>
      </c>
      <c r="N70" s="10" t="n"/>
      <c r="O70" s="11" t="n"/>
      <c r="P70" s="7">
        <f>IF(OR(N70="",O70=""),"",N70*O70)</f>
        <v/>
      </c>
      <c r="Q70" s="8">
        <f>IF(OR(N70="",K70=""),"",N70*(1-K70))</f>
        <v/>
      </c>
      <c r="R70" s="7">
        <f>IF(OR(Q70="",O70=""),"",Q70*O70)</f>
        <v/>
      </c>
      <c r="S70" s="7">
        <f>IF(OR(P70="",R70=""),"",P70-R70)</f>
        <v/>
      </c>
      <c r="T70" s="9" t="n"/>
      <c r="U70" s="9" t="n"/>
      <c r="V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4">
        <f>IF(COUNTA(E71:G71)&lt;3,"",E71*F71*G71)</f>
        <v/>
      </c>
      <c r="I71" s="4">
        <f>IF(H71="","",IF(H71&gt;=75,"Critical",IF(H71&gt;=40,"High",IF(H71&gt;=15,"Medium","Low"))))</f>
        <v/>
      </c>
      <c r="J71" s="9" t="n"/>
      <c r="K71" s="10" t="n"/>
      <c r="L71" s="4">
        <f>IF(OR(H71="",K71=""),"",ROUND(H71*(1-K71),0))</f>
        <v/>
      </c>
      <c r="M71" s="4">
        <f>IF(L71="","",IF(L71&gt;=75,"Critical",IF(L71&gt;=40,"High",IF(L71&gt;=15,"Medium","Low"))))</f>
        <v/>
      </c>
      <c r="N71" s="10" t="n"/>
      <c r="O71" s="11" t="n"/>
      <c r="P71" s="7">
        <f>IF(OR(N71="",O71=""),"",N71*O71)</f>
        <v/>
      </c>
      <c r="Q71" s="8">
        <f>IF(OR(N71="",K71=""),"",N71*(1-K71))</f>
        <v/>
      </c>
      <c r="R71" s="7">
        <f>IF(OR(Q71="",O71=""),"",Q71*O71)</f>
        <v/>
      </c>
      <c r="S71" s="7">
        <f>IF(OR(P71="",R71=""),"",P71-R71)</f>
        <v/>
      </c>
      <c r="T71" s="9" t="n"/>
      <c r="U71" s="9" t="n"/>
      <c r="V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4">
        <f>IF(COUNTA(E72:G72)&lt;3,"",E72*F72*G72)</f>
        <v/>
      </c>
      <c r="I72" s="4">
        <f>IF(H72="","",IF(H72&gt;=75,"Critical",IF(H72&gt;=40,"High",IF(H72&gt;=15,"Medium","Low"))))</f>
        <v/>
      </c>
      <c r="J72" s="9" t="n"/>
      <c r="K72" s="10" t="n"/>
      <c r="L72" s="4">
        <f>IF(OR(H72="",K72=""),"",ROUND(H72*(1-K72),0))</f>
        <v/>
      </c>
      <c r="M72" s="4">
        <f>IF(L72="","",IF(L72&gt;=75,"Critical",IF(L72&gt;=40,"High",IF(L72&gt;=15,"Medium","Low"))))</f>
        <v/>
      </c>
      <c r="N72" s="10" t="n"/>
      <c r="O72" s="11" t="n"/>
      <c r="P72" s="7">
        <f>IF(OR(N72="",O72=""),"",N72*O72)</f>
        <v/>
      </c>
      <c r="Q72" s="8">
        <f>IF(OR(N72="",K72=""),"",N72*(1-K72))</f>
        <v/>
      </c>
      <c r="R72" s="7">
        <f>IF(OR(Q72="",O72=""),"",Q72*O72)</f>
        <v/>
      </c>
      <c r="S72" s="7">
        <f>IF(OR(P72="",R72=""),"",P72-R72)</f>
        <v/>
      </c>
      <c r="T72" s="9" t="n"/>
      <c r="U72" s="9" t="n"/>
      <c r="V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4">
        <f>IF(COUNTA(E73:G73)&lt;3,"",E73*F73*G73)</f>
        <v/>
      </c>
      <c r="I73" s="4">
        <f>IF(H73="","",IF(H73&gt;=75,"Critical",IF(H73&gt;=40,"High",IF(H73&gt;=15,"Medium","Low"))))</f>
        <v/>
      </c>
      <c r="J73" s="9" t="n"/>
      <c r="K73" s="10" t="n"/>
      <c r="L73" s="4">
        <f>IF(OR(H73="",K73=""),"",ROUND(H73*(1-K73),0))</f>
        <v/>
      </c>
      <c r="M73" s="4">
        <f>IF(L73="","",IF(L73&gt;=75,"Critical",IF(L73&gt;=40,"High",IF(L73&gt;=15,"Medium","Low"))))</f>
        <v/>
      </c>
      <c r="N73" s="10" t="n"/>
      <c r="O73" s="11" t="n"/>
      <c r="P73" s="7">
        <f>IF(OR(N73="",O73=""),"",N73*O73)</f>
        <v/>
      </c>
      <c r="Q73" s="8">
        <f>IF(OR(N73="",K73=""),"",N73*(1-K73))</f>
        <v/>
      </c>
      <c r="R73" s="7">
        <f>IF(OR(Q73="",O73=""),"",Q73*O73)</f>
        <v/>
      </c>
      <c r="S73" s="7">
        <f>IF(OR(P73="",R73=""),"",P73-R73)</f>
        <v/>
      </c>
      <c r="T73" s="9" t="n"/>
      <c r="U73" s="9" t="n"/>
      <c r="V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4">
        <f>IF(COUNTA(E74:G74)&lt;3,"",E74*F74*G74)</f>
        <v/>
      </c>
      <c r="I74" s="4">
        <f>IF(H74="","",IF(H74&gt;=75,"Critical",IF(H74&gt;=40,"High",IF(H74&gt;=15,"Medium","Low"))))</f>
        <v/>
      </c>
      <c r="J74" s="9" t="n"/>
      <c r="K74" s="10" t="n"/>
      <c r="L74" s="4">
        <f>IF(OR(H74="",K74=""),"",ROUND(H74*(1-K74),0))</f>
        <v/>
      </c>
      <c r="M74" s="4">
        <f>IF(L74="","",IF(L74&gt;=75,"Critical",IF(L74&gt;=40,"High",IF(L74&gt;=15,"Medium","Low"))))</f>
        <v/>
      </c>
      <c r="N74" s="10" t="n"/>
      <c r="O74" s="11" t="n"/>
      <c r="P74" s="7">
        <f>IF(OR(N74="",O74=""),"",N74*O74)</f>
        <v/>
      </c>
      <c r="Q74" s="8">
        <f>IF(OR(N74="",K74=""),"",N74*(1-K74))</f>
        <v/>
      </c>
      <c r="R74" s="7">
        <f>IF(OR(Q74="",O74=""),"",Q74*O74)</f>
        <v/>
      </c>
      <c r="S74" s="7">
        <f>IF(OR(P74="",R74=""),"",P74-R74)</f>
        <v/>
      </c>
      <c r="T74" s="9" t="n"/>
      <c r="U74" s="9" t="n"/>
      <c r="V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4">
        <f>IF(COUNTA(E75:G75)&lt;3,"",E75*F75*G75)</f>
        <v/>
      </c>
      <c r="I75" s="4">
        <f>IF(H75="","",IF(H75&gt;=75,"Critical",IF(H75&gt;=40,"High",IF(H75&gt;=15,"Medium","Low"))))</f>
        <v/>
      </c>
      <c r="J75" s="9" t="n"/>
      <c r="K75" s="10" t="n"/>
      <c r="L75" s="4">
        <f>IF(OR(H75="",K75=""),"",ROUND(H75*(1-K75),0))</f>
        <v/>
      </c>
      <c r="M75" s="4">
        <f>IF(L75="","",IF(L75&gt;=75,"Critical",IF(L75&gt;=40,"High",IF(L75&gt;=15,"Medium","Low"))))</f>
        <v/>
      </c>
      <c r="N75" s="10" t="n"/>
      <c r="O75" s="11" t="n"/>
      <c r="P75" s="7">
        <f>IF(OR(N75="",O75=""),"",N75*O75)</f>
        <v/>
      </c>
      <c r="Q75" s="8">
        <f>IF(OR(N75="",K75=""),"",N75*(1-K75))</f>
        <v/>
      </c>
      <c r="R75" s="7">
        <f>IF(OR(Q75="",O75=""),"",Q75*O75)</f>
        <v/>
      </c>
      <c r="S75" s="7">
        <f>IF(OR(P75="",R75=""),"",P75-R75)</f>
        <v/>
      </c>
      <c r="T75" s="9" t="n"/>
      <c r="U75" s="9" t="n"/>
      <c r="V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4">
        <f>IF(COUNTA(E76:G76)&lt;3,"",E76*F76*G76)</f>
        <v/>
      </c>
      <c r="I76" s="4">
        <f>IF(H76="","",IF(H76&gt;=75,"Critical",IF(H76&gt;=40,"High",IF(H76&gt;=15,"Medium","Low"))))</f>
        <v/>
      </c>
      <c r="J76" s="9" t="n"/>
      <c r="K76" s="10" t="n"/>
      <c r="L76" s="4">
        <f>IF(OR(H76="",K76=""),"",ROUND(H76*(1-K76),0))</f>
        <v/>
      </c>
      <c r="M76" s="4">
        <f>IF(L76="","",IF(L76&gt;=75,"Critical",IF(L76&gt;=40,"High",IF(L76&gt;=15,"Medium","Low"))))</f>
        <v/>
      </c>
      <c r="N76" s="10" t="n"/>
      <c r="O76" s="11" t="n"/>
      <c r="P76" s="7">
        <f>IF(OR(N76="",O76=""),"",N76*O76)</f>
        <v/>
      </c>
      <c r="Q76" s="8">
        <f>IF(OR(N76="",K76=""),"",N76*(1-K76))</f>
        <v/>
      </c>
      <c r="R76" s="7">
        <f>IF(OR(Q76="",O76=""),"",Q76*O76)</f>
        <v/>
      </c>
      <c r="S76" s="7">
        <f>IF(OR(P76="",R76=""),"",P76-R76)</f>
        <v/>
      </c>
      <c r="T76" s="9" t="n"/>
      <c r="U76" s="9" t="n"/>
      <c r="V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4">
        <f>IF(COUNTA(E77:G77)&lt;3,"",E77*F77*G77)</f>
        <v/>
      </c>
      <c r="I77" s="4">
        <f>IF(H77="","",IF(H77&gt;=75,"Critical",IF(H77&gt;=40,"High",IF(H77&gt;=15,"Medium","Low"))))</f>
        <v/>
      </c>
      <c r="J77" s="9" t="n"/>
      <c r="K77" s="10" t="n"/>
      <c r="L77" s="4">
        <f>IF(OR(H77="",K77=""),"",ROUND(H77*(1-K77),0))</f>
        <v/>
      </c>
      <c r="M77" s="4">
        <f>IF(L77="","",IF(L77&gt;=75,"Critical",IF(L77&gt;=40,"High",IF(L77&gt;=15,"Medium","Low"))))</f>
        <v/>
      </c>
      <c r="N77" s="10" t="n"/>
      <c r="O77" s="11" t="n"/>
      <c r="P77" s="7">
        <f>IF(OR(N77="",O77=""),"",N77*O77)</f>
        <v/>
      </c>
      <c r="Q77" s="8">
        <f>IF(OR(N77="",K77=""),"",N77*(1-K77))</f>
        <v/>
      </c>
      <c r="R77" s="7">
        <f>IF(OR(Q77="",O77=""),"",Q77*O77)</f>
        <v/>
      </c>
      <c r="S77" s="7">
        <f>IF(OR(P77="",R77=""),"",P77-R77)</f>
        <v/>
      </c>
      <c r="T77" s="9" t="n"/>
      <c r="U77" s="9" t="n"/>
      <c r="V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4">
        <f>IF(COUNTA(E78:G78)&lt;3,"",E78*F78*G78)</f>
        <v/>
      </c>
      <c r="I78" s="4">
        <f>IF(H78="","",IF(H78&gt;=75,"Critical",IF(H78&gt;=40,"High",IF(H78&gt;=15,"Medium","Low"))))</f>
        <v/>
      </c>
      <c r="J78" s="9" t="n"/>
      <c r="K78" s="10" t="n"/>
      <c r="L78" s="4">
        <f>IF(OR(H78="",K78=""),"",ROUND(H78*(1-K78),0))</f>
        <v/>
      </c>
      <c r="M78" s="4">
        <f>IF(L78="","",IF(L78&gt;=75,"Critical",IF(L78&gt;=40,"High",IF(L78&gt;=15,"Medium","Low"))))</f>
        <v/>
      </c>
      <c r="N78" s="10" t="n"/>
      <c r="O78" s="11" t="n"/>
      <c r="P78" s="7">
        <f>IF(OR(N78="",O78=""),"",N78*O78)</f>
        <v/>
      </c>
      <c r="Q78" s="8">
        <f>IF(OR(N78="",K78=""),"",N78*(1-K78))</f>
        <v/>
      </c>
      <c r="R78" s="7">
        <f>IF(OR(Q78="",O78=""),"",Q78*O78)</f>
        <v/>
      </c>
      <c r="S78" s="7">
        <f>IF(OR(P78="",R78=""),"",P78-R78)</f>
        <v/>
      </c>
      <c r="T78" s="9" t="n"/>
      <c r="U78" s="9" t="n"/>
      <c r="V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4">
        <f>IF(COUNTA(E79:G79)&lt;3,"",E79*F79*G79)</f>
        <v/>
      </c>
      <c r="I79" s="4">
        <f>IF(H79="","",IF(H79&gt;=75,"Critical",IF(H79&gt;=40,"High",IF(H79&gt;=15,"Medium","Low"))))</f>
        <v/>
      </c>
      <c r="J79" s="9" t="n"/>
      <c r="K79" s="10" t="n"/>
      <c r="L79" s="4">
        <f>IF(OR(H79="",K79=""),"",ROUND(H79*(1-K79),0))</f>
        <v/>
      </c>
      <c r="M79" s="4">
        <f>IF(L79="","",IF(L79&gt;=75,"Critical",IF(L79&gt;=40,"High",IF(L79&gt;=15,"Medium","Low"))))</f>
        <v/>
      </c>
      <c r="N79" s="10" t="n"/>
      <c r="O79" s="11" t="n"/>
      <c r="P79" s="7">
        <f>IF(OR(N79="",O79=""),"",N79*O79)</f>
        <v/>
      </c>
      <c r="Q79" s="8">
        <f>IF(OR(N79="",K79=""),"",N79*(1-K79))</f>
        <v/>
      </c>
      <c r="R79" s="7">
        <f>IF(OR(Q79="",O79=""),"",Q79*O79)</f>
        <v/>
      </c>
      <c r="S79" s="7">
        <f>IF(OR(P79="",R79=""),"",P79-R79)</f>
        <v/>
      </c>
      <c r="T79" s="9" t="n"/>
      <c r="U79" s="9" t="n"/>
      <c r="V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4">
        <f>IF(COUNTA(E80:G80)&lt;3,"",E80*F80*G80)</f>
        <v/>
      </c>
      <c r="I80" s="4">
        <f>IF(H80="","",IF(H80&gt;=75,"Critical",IF(H80&gt;=40,"High",IF(H80&gt;=15,"Medium","Low"))))</f>
        <v/>
      </c>
      <c r="J80" s="9" t="n"/>
      <c r="K80" s="10" t="n"/>
      <c r="L80" s="4">
        <f>IF(OR(H80="",K80=""),"",ROUND(H80*(1-K80),0))</f>
        <v/>
      </c>
      <c r="M80" s="4">
        <f>IF(L80="","",IF(L80&gt;=75,"Critical",IF(L80&gt;=40,"High",IF(L80&gt;=15,"Medium","Low"))))</f>
        <v/>
      </c>
      <c r="N80" s="10" t="n"/>
      <c r="O80" s="11" t="n"/>
      <c r="P80" s="7">
        <f>IF(OR(N80="",O80=""),"",N80*O80)</f>
        <v/>
      </c>
      <c r="Q80" s="8">
        <f>IF(OR(N80="",K80=""),"",N80*(1-K80))</f>
        <v/>
      </c>
      <c r="R80" s="7">
        <f>IF(OR(Q80="",O80=""),"",Q80*O80)</f>
        <v/>
      </c>
      <c r="S80" s="7">
        <f>IF(OR(P80="",R80=""),"",P80-R80)</f>
        <v/>
      </c>
      <c r="T80" s="9" t="n"/>
      <c r="U80" s="9" t="n"/>
      <c r="V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4">
        <f>IF(COUNTA(E81:G81)&lt;3,"",E81*F81*G81)</f>
        <v/>
      </c>
      <c r="I81" s="4">
        <f>IF(H81="","",IF(H81&gt;=75,"Critical",IF(H81&gt;=40,"High",IF(H81&gt;=15,"Medium","Low"))))</f>
        <v/>
      </c>
      <c r="J81" s="9" t="n"/>
      <c r="K81" s="10" t="n"/>
      <c r="L81" s="4">
        <f>IF(OR(H81="",K81=""),"",ROUND(H81*(1-K81),0))</f>
        <v/>
      </c>
      <c r="M81" s="4">
        <f>IF(L81="","",IF(L81&gt;=75,"Critical",IF(L81&gt;=40,"High",IF(L81&gt;=15,"Medium","Low"))))</f>
        <v/>
      </c>
      <c r="N81" s="10" t="n"/>
      <c r="O81" s="11" t="n"/>
      <c r="P81" s="7">
        <f>IF(OR(N81="",O81=""),"",N81*O81)</f>
        <v/>
      </c>
      <c r="Q81" s="8">
        <f>IF(OR(N81="",K81=""),"",N81*(1-K81))</f>
        <v/>
      </c>
      <c r="R81" s="7">
        <f>IF(OR(Q81="",O81=""),"",Q81*O81)</f>
        <v/>
      </c>
      <c r="S81" s="7">
        <f>IF(OR(P81="",R81=""),"",P81-R81)</f>
        <v/>
      </c>
      <c r="T81" s="9" t="n"/>
      <c r="U81" s="9" t="n"/>
      <c r="V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4">
        <f>IF(COUNTA(E82:G82)&lt;3,"",E82*F82*G82)</f>
        <v/>
      </c>
      <c r="I82" s="4">
        <f>IF(H82="","",IF(H82&gt;=75,"Critical",IF(H82&gt;=40,"High",IF(H82&gt;=15,"Medium","Low"))))</f>
        <v/>
      </c>
      <c r="J82" s="9" t="n"/>
      <c r="K82" s="10" t="n"/>
      <c r="L82" s="4">
        <f>IF(OR(H82="",K82=""),"",ROUND(H82*(1-K82),0))</f>
        <v/>
      </c>
      <c r="M82" s="4">
        <f>IF(L82="","",IF(L82&gt;=75,"Critical",IF(L82&gt;=40,"High",IF(L82&gt;=15,"Medium","Low"))))</f>
        <v/>
      </c>
      <c r="N82" s="10" t="n"/>
      <c r="O82" s="11" t="n"/>
      <c r="P82" s="7">
        <f>IF(OR(N82="",O82=""),"",N82*O82)</f>
        <v/>
      </c>
      <c r="Q82" s="8">
        <f>IF(OR(N82="",K82=""),"",N82*(1-K82))</f>
        <v/>
      </c>
      <c r="R82" s="7">
        <f>IF(OR(Q82="",O82=""),"",Q82*O82)</f>
        <v/>
      </c>
      <c r="S82" s="7">
        <f>IF(OR(P82="",R82=""),"",P82-R82)</f>
        <v/>
      </c>
      <c r="T82" s="9" t="n"/>
      <c r="U82" s="9" t="n"/>
      <c r="V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4">
        <f>IF(COUNTA(E83:G83)&lt;3,"",E83*F83*G83)</f>
        <v/>
      </c>
      <c r="I83" s="4">
        <f>IF(H83="","",IF(H83&gt;=75,"Critical",IF(H83&gt;=40,"High",IF(H83&gt;=15,"Medium","Low"))))</f>
        <v/>
      </c>
      <c r="J83" s="9" t="n"/>
      <c r="K83" s="10" t="n"/>
      <c r="L83" s="4">
        <f>IF(OR(H83="",K83=""),"",ROUND(H83*(1-K83),0))</f>
        <v/>
      </c>
      <c r="M83" s="4">
        <f>IF(L83="","",IF(L83&gt;=75,"Critical",IF(L83&gt;=40,"High",IF(L83&gt;=15,"Medium","Low"))))</f>
        <v/>
      </c>
      <c r="N83" s="10" t="n"/>
      <c r="O83" s="11" t="n"/>
      <c r="P83" s="7">
        <f>IF(OR(N83="",O83=""),"",N83*O83)</f>
        <v/>
      </c>
      <c r="Q83" s="8">
        <f>IF(OR(N83="",K83=""),"",N83*(1-K83))</f>
        <v/>
      </c>
      <c r="R83" s="7">
        <f>IF(OR(Q83="",O83=""),"",Q83*O83)</f>
        <v/>
      </c>
      <c r="S83" s="7">
        <f>IF(OR(P83="",R83=""),"",P83-R83)</f>
        <v/>
      </c>
      <c r="T83" s="9" t="n"/>
      <c r="U83" s="9" t="n"/>
      <c r="V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4">
        <f>IF(COUNTA(E84:G84)&lt;3,"",E84*F84*G84)</f>
        <v/>
      </c>
      <c r="I84" s="4">
        <f>IF(H84="","",IF(H84&gt;=75,"Critical",IF(H84&gt;=40,"High",IF(H84&gt;=15,"Medium","Low"))))</f>
        <v/>
      </c>
      <c r="J84" s="9" t="n"/>
      <c r="K84" s="10" t="n"/>
      <c r="L84" s="4">
        <f>IF(OR(H84="",K84=""),"",ROUND(H84*(1-K84),0))</f>
        <v/>
      </c>
      <c r="M84" s="4">
        <f>IF(L84="","",IF(L84&gt;=75,"Critical",IF(L84&gt;=40,"High",IF(L84&gt;=15,"Medium","Low"))))</f>
        <v/>
      </c>
      <c r="N84" s="10" t="n"/>
      <c r="O84" s="11" t="n"/>
      <c r="P84" s="7">
        <f>IF(OR(N84="",O84=""),"",N84*O84)</f>
        <v/>
      </c>
      <c r="Q84" s="8">
        <f>IF(OR(N84="",K84=""),"",N84*(1-K84))</f>
        <v/>
      </c>
      <c r="R84" s="7">
        <f>IF(OR(Q84="",O84=""),"",Q84*O84)</f>
        <v/>
      </c>
      <c r="S84" s="7">
        <f>IF(OR(P84="",R84=""),"",P84-R84)</f>
        <v/>
      </c>
      <c r="T84" s="9" t="n"/>
      <c r="U84" s="9" t="n"/>
      <c r="V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4">
        <f>IF(COUNTA(E85:G85)&lt;3,"",E85*F85*G85)</f>
        <v/>
      </c>
      <c r="I85" s="4">
        <f>IF(H85="","",IF(H85&gt;=75,"Critical",IF(H85&gt;=40,"High",IF(H85&gt;=15,"Medium","Low"))))</f>
        <v/>
      </c>
      <c r="J85" s="9" t="n"/>
      <c r="K85" s="10" t="n"/>
      <c r="L85" s="4">
        <f>IF(OR(H85="",K85=""),"",ROUND(H85*(1-K85),0))</f>
        <v/>
      </c>
      <c r="M85" s="4">
        <f>IF(L85="","",IF(L85&gt;=75,"Critical",IF(L85&gt;=40,"High",IF(L85&gt;=15,"Medium","Low"))))</f>
        <v/>
      </c>
      <c r="N85" s="10" t="n"/>
      <c r="O85" s="11" t="n"/>
      <c r="P85" s="7">
        <f>IF(OR(N85="",O85=""),"",N85*O85)</f>
        <v/>
      </c>
      <c r="Q85" s="8">
        <f>IF(OR(N85="",K85=""),"",N85*(1-K85))</f>
        <v/>
      </c>
      <c r="R85" s="7">
        <f>IF(OR(Q85="",O85=""),"",Q85*O85)</f>
        <v/>
      </c>
      <c r="S85" s="7">
        <f>IF(OR(P85="",R85=""),"",P85-R85)</f>
        <v/>
      </c>
      <c r="T85" s="9" t="n"/>
      <c r="U85" s="9" t="n"/>
      <c r="V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4">
        <f>IF(COUNTA(E86:G86)&lt;3,"",E86*F86*G86)</f>
        <v/>
      </c>
      <c r="I86" s="4">
        <f>IF(H86="","",IF(H86&gt;=75,"Critical",IF(H86&gt;=40,"High",IF(H86&gt;=15,"Medium","Low"))))</f>
        <v/>
      </c>
      <c r="J86" s="9" t="n"/>
      <c r="K86" s="10" t="n"/>
      <c r="L86" s="4">
        <f>IF(OR(H86="",K86=""),"",ROUND(H86*(1-K86),0))</f>
        <v/>
      </c>
      <c r="M86" s="4">
        <f>IF(L86="","",IF(L86&gt;=75,"Critical",IF(L86&gt;=40,"High",IF(L86&gt;=15,"Medium","Low"))))</f>
        <v/>
      </c>
      <c r="N86" s="10" t="n"/>
      <c r="O86" s="11" t="n"/>
      <c r="P86" s="7">
        <f>IF(OR(N86="",O86=""),"",N86*O86)</f>
        <v/>
      </c>
      <c r="Q86" s="8">
        <f>IF(OR(N86="",K86=""),"",N86*(1-K86))</f>
        <v/>
      </c>
      <c r="R86" s="7">
        <f>IF(OR(Q86="",O86=""),"",Q86*O86)</f>
        <v/>
      </c>
      <c r="S86" s="7">
        <f>IF(OR(P86="",R86=""),"",P86-R86)</f>
        <v/>
      </c>
      <c r="T86" s="9" t="n"/>
      <c r="U86" s="9" t="n"/>
      <c r="V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4">
        <f>IF(COUNTA(E87:G87)&lt;3,"",E87*F87*G87)</f>
        <v/>
      </c>
      <c r="I87" s="4">
        <f>IF(H87="","",IF(H87&gt;=75,"Critical",IF(H87&gt;=40,"High",IF(H87&gt;=15,"Medium","Low"))))</f>
        <v/>
      </c>
      <c r="J87" s="9" t="n"/>
      <c r="K87" s="10" t="n"/>
      <c r="L87" s="4">
        <f>IF(OR(H87="",K87=""),"",ROUND(H87*(1-K87),0))</f>
        <v/>
      </c>
      <c r="M87" s="4">
        <f>IF(L87="","",IF(L87&gt;=75,"Critical",IF(L87&gt;=40,"High",IF(L87&gt;=15,"Medium","Low"))))</f>
        <v/>
      </c>
      <c r="N87" s="10" t="n"/>
      <c r="O87" s="11" t="n"/>
      <c r="P87" s="7">
        <f>IF(OR(N87="",O87=""),"",N87*O87)</f>
        <v/>
      </c>
      <c r="Q87" s="8">
        <f>IF(OR(N87="",K87=""),"",N87*(1-K87))</f>
        <v/>
      </c>
      <c r="R87" s="7">
        <f>IF(OR(Q87="",O87=""),"",Q87*O87)</f>
        <v/>
      </c>
      <c r="S87" s="7">
        <f>IF(OR(P87="",R87=""),"",P87-R87)</f>
        <v/>
      </c>
      <c r="T87" s="9" t="n"/>
      <c r="U87" s="9" t="n"/>
      <c r="V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4">
        <f>IF(COUNTA(E88:G88)&lt;3,"",E88*F88*G88)</f>
        <v/>
      </c>
      <c r="I88" s="4">
        <f>IF(H88="","",IF(H88&gt;=75,"Critical",IF(H88&gt;=40,"High",IF(H88&gt;=15,"Medium","Low"))))</f>
        <v/>
      </c>
      <c r="J88" s="9" t="n"/>
      <c r="K88" s="10" t="n"/>
      <c r="L88" s="4">
        <f>IF(OR(H88="",K88=""),"",ROUND(H88*(1-K88),0))</f>
        <v/>
      </c>
      <c r="M88" s="4">
        <f>IF(L88="","",IF(L88&gt;=75,"Critical",IF(L88&gt;=40,"High",IF(L88&gt;=15,"Medium","Low"))))</f>
        <v/>
      </c>
      <c r="N88" s="10" t="n"/>
      <c r="O88" s="11" t="n"/>
      <c r="P88" s="7">
        <f>IF(OR(N88="",O88=""),"",N88*O88)</f>
        <v/>
      </c>
      <c r="Q88" s="8">
        <f>IF(OR(N88="",K88=""),"",N88*(1-K88))</f>
        <v/>
      </c>
      <c r="R88" s="7">
        <f>IF(OR(Q88="",O88=""),"",Q88*O88)</f>
        <v/>
      </c>
      <c r="S88" s="7">
        <f>IF(OR(P88="",R88=""),"",P88-R88)</f>
        <v/>
      </c>
      <c r="T88" s="9" t="n"/>
      <c r="U88" s="9" t="n"/>
      <c r="V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4">
        <f>IF(COUNTA(E89:G89)&lt;3,"",E89*F89*G89)</f>
        <v/>
      </c>
      <c r="I89" s="4">
        <f>IF(H89="","",IF(H89&gt;=75,"Critical",IF(H89&gt;=40,"High",IF(H89&gt;=15,"Medium","Low"))))</f>
        <v/>
      </c>
      <c r="J89" s="9" t="n"/>
      <c r="K89" s="10" t="n"/>
      <c r="L89" s="4">
        <f>IF(OR(H89="",K89=""),"",ROUND(H89*(1-K89),0))</f>
        <v/>
      </c>
      <c r="M89" s="4">
        <f>IF(L89="","",IF(L89&gt;=75,"Critical",IF(L89&gt;=40,"High",IF(L89&gt;=15,"Medium","Low"))))</f>
        <v/>
      </c>
      <c r="N89" s="10" t="n"/>
      <c r="O89" s="11" t="n"/>
      <c r="P89" s="7">
        <f>IF(OR(N89="",O89=""),"",N89*O89)</f>
        <v/>
      </c>
      <c r="Q89" s="8">
        <f>IF(OR(N89="",K89=""),"",N89*(1-K89))</f>
        <v/>
      </c>
      <c r="R89" s="7">
        <f>IF(OR(Q89="",O89=""),"",Q89*O89)</f>
        <v/>
      </c>
      <c r="S89" s="7">
        <f>IF(OR(P89="",R89=""),"",P89-R89)</f>
        <v/>
      </c>
      <c r="T89" s="9" t="n"/>
      <c r="U89" s="9" t="n"/>
      <c r="V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4">
        <f>IF(COUNTA(E90:G90)&lt;3,"",E90*F90*G90)</f>
        <v/>
      </c>
      <c r="I90" s="4">
        <f>IF(H90="","",IF(H90&gt;=75,"Critical",IF(H90&gt;=40,"High",IF(H90&gt;=15,"Medium","Low"))))</f>
        <v/>
      </c>
      <c r="J90" s="9" t="n"/>
      <c r="K90" s="10" t="n"/>
      <c r="L90" s="4">
        <f>IF(OR(H90="",K90=""),"",ROUND(H90*(1-K90),0))</f>
        <v/>
      </c>
      <c r="M90" s="4">
        <f>IF(L90="","",IF(L90&gt;=75,"Critical",IF(L90&gt;=40,"High",IF(L90&gt;=15,"Medium","Low"))))</f>
        <v/>
      </c>
      <c r="N90" s="10" t="n"/>
      <c r="O90" s="11" t="n"/>
      <c r="P90" s="7">
        <f>IF(OR(N90="",O90=""),"",N90*O90)</f>
        <v/>
      </c>
      <c r="Q90" s="8">
        <f>IF(OR(N90="",K90=""),"",N90*(1-K90))</f>
        <v/>
      </c>
      <c r="R90" s="7">
        <f>IF(OR(Q90="",O90=""),"",Q90*O90)</f>
        <v/>
      </c>
      <c r="S90" s="7">
        <f>IF(OR(P90="",R90=""),"",P90-R90)</f>
        <v/>
      </c>
      <c r="T90" s="9" t="n"/>
      <c r="U90" s="9" t="n"/>
      <c r="V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4">
        <f>IF(COUNTA(E91:G91)&lt;3,"",E91*F91*G91)</f>
        <v/>
      </c>
      <c r="I91" s="4">
        <f>IF(H91="","",IF(H91&gt;=75,"Critical",IF(H91&gt;=40,"High",IF(H91&gt;=15,"Medium","Low"))))</f>
        <v/>
      </c>
      <c r="J91" s="9" t="n"/>
      <c r="K91" s="10" t="n"/>
      <c r="L91" s="4">
        <f>IF(OR(H91="",K91=""),"",ROUND(H91*(1-K91),0))</f>
        <v/>
      </c>
      <c r="M91" s="4">
        <f>IF(L91="","",IF(L91&gt;=75,"Critical",IF(L91&gt;=40,"High",IF(L91&gt;=15,"Medium","Low"))))</f>
        <v/>
      </c>
      <c r="N91" s="10" t="n"/>
      <c r="O91" s="11" t="n"/>
      <c r="P91" s="7">
        <f>IF(OR(N91="",O91=""),"",N91*O91)</f>
        <v/>
      </c>
      <c r="Q91" s="8">
        <f>IF(OR(N91="",K91=""),"",N91*(1-K91))</f>
        <v/>
      </c>
      <c r="R91" s="7">
        <f>IF(OR(Q91="",O91=""),"",Q91*O91)</f>
        <v/>
      </c>
      <c r="S91" s="7">
        <f>IF(OR(P91="",R91=""),"",P91-R91)</f>
        <v/>
      </c>
      <c r="T91" s="9" t="n"/>
      <c r="U91" s="9" t="n"/>
      <c r="V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4">
        <f>IF(COUNTA(E92:G92)&lt;3,"",E92*F92*G92)</f>
        <v/>
      </c>
      <c r="I92" s="4">
        <f>IF(H92="","",IF(H92&gt;=75,"Critical",IF(H92&gt;=40,"High",IF(H92&gt;=15,"Medium","Low"))))</f>
        <v/>
      </c>
      <c r="J92" s="9" t="n"/>
      <c r="K92" s="10" t="n"/>
      <c r="L92" s="4">
        <f>IF(OR(H92="",K92=""),"",ROUND(H92*(1-K92),0))</f>
        <v/>
      </c>
      <c r="M92" s="4">
        <f>IF(L92="","",IF(L92&gt;=75,"Critical",IF(L92&gt;=40,"High",IF(L92&gt;=15,"Medium","Low"))))</f>
        <v/>
      </c>
      <c r="N92" s="10" t="n"/>
      <c r="O92" s="11" t="n"/>
      <c r="P92" s="7">
        <f>IF(OR(N92="",O92=""),"",N92*O92)</f>
        <v/>
      </c>
      <c r="Q92" s="8">
        <f>IF(OR(N92="",K92=""),"",N92*(1-K92))</f>
        <v/>
      </c>
      <c r="R92" s="7">
        <f>IF(OR(Q92="",O92=""),"",Q92*O92)</f>
        <v/>
      </c>
      <c r="S92" s="7">
        <f>IF(OR(P92="",R92=""),"",P92-R92)</f>
        <v/>
      </c>
      <c r="T92" s="9" t="n"/>
      <c r="U92" s="9" t="n"/>
      <c r="V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4">
        <f>IF(COUNTA(E93:G93)&lt;3,"",E93*F93*G93)</f>
        <v/>
      </c>
      <c r="I93" s="4">
        <f>IF(H93="","",IF(H93&gt;=75,"Critical",IF(H93&gt;=40,"High",IF(H93&gt;=15,"Medium","Low"))))</f>
        <v/>
      </c>
      <c r="J93" s="9" t="n"/>
      <c r="K93" s="10" t="n"/>
      <c r="L93" s="4">
        <f>IF(OR(H93="",K93=""),"",ROUND(H93*(1-K93),0))</f>
        <v/>
      </c>
      <c r="M93" s="4">
        <f>IF(L93="","",IF(L93&gt;=75,"Critical",IF(L93&gt;=40,"High",IF(L93&gt;=15,"Medium","Low"))))</f>
        <v/>
      </c>
      <c r="N93" s="10" t="n"/>
      <c r="O93" s="11" t="n"/>
      <c r="P93" s="7">
        <f>IF(OR(N93="",O93=""),"",N93*O93)</f>
        <v/>
      </c>
      <c r="Q93" s="8">
        <f>IF(OR(N93="",K93=""),"",N93*(1-K93))</f>
        <v/>
      </c>
      <c r="R93" s="7">
        <f>IF(OR(Q93="",O93=""),"",Q93*O93)</f>
        <v/>
      </c>
      <c r="S93" s="7">
        <f>IF(OR(P93="",R93=""),"",P93-R93)</f>
        <v/>
      </c>
      <c r="T93" s="9" t="n"/>
      <c r="U93" s="9" t="n"/>
      <c r="V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4">
        <f>IF(COUNTA(E94:G94)&lt;3,"",E94*F94*G94)</f>
        <v/>
      </c>
      <c r="I94" s="4">
        <f>IF(H94="","",IF(H94&gt;=75,"Critical",IF(H94&gt;=40,"High",IF(H94&gt;=15,"Medium","Low"))))</f>
        <v/>
      </c>
      <c r="J94" s="9" t="n"/>
      <c r="K94" s="10" t="n"/>
      <c r="L94" s="4">
        <f>IF(OR(H94="",K94=""),"",ROUND(H94*(1-K94),0))</f>
        <v/>
      </c>
      <c r="M94" s="4">
        <f>IF(L94="","",IF(L94&gt;=75,"Critical",IF(L94&gt;=40,"High",IF(L94&gt;=15,"Medium","Low"))))</f>
        <v/>
      </c>
      <c r="N94" s="10" t="n"/>
      <c r="O94" s="11" t="n"/>
      <c r="P94" s="7">
        <f>IF(OR(N94="",O94=""),"",N94*O94)</f>
        <v/>
      </c>
      <c r="Q94" s="8">
        <f>IF(OR(N94="",K94=""),"",N94*(1-K94))</f>
        <v/>
      </c>
      <c r="R94" s="7">
        <f>IF(OR(Q94="",O94=""),"",Q94*O94)</f>
        <v/>
      </c>
      <c r="S94" s="7">
        <f>IF(OR(P94="",R94=""),"",P94-R94)</f>
        <v/>
      </c>
      <c r="T94" s="9" t="n"/>
      <c r="U94" s="9" t="n"/>
      <c r="V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4">
        <f>IF(COUNTA(E95:G95)&lt;3,"",E95*F95*G95)</f>
        <v/>
      </c>
      <c r="I95" s="4">
        <f>IF(H95="","",IF(H95&gt;=75,"Critical",IF(H95&gt;=40,"High",IF(H95&gt;=15,"Medium","Low"))))</f>
        <v/>
      </c>
      <c r="J95" s="9" t="n"/>
      <c r="K95" s="10" t="n"/>
      <c r="L95" s="4">
        <f>IF(OR(H95="",K95=""),"",ROUND(H95*(1-K95),0))</f>
        <v/>
      </c>
      <c r="M95" s="4">
        <f>IF(L95="","",IF(L95&gt;=75,"Critical",IF(L95&gt;=40,"High",IF(L95&gt;=15,"Medium","Low"))))</f>
        <v/>
      </c>
      <c r="N95" s="10" t="n"/>
      <c r="O95" s="11" t="n"/>
      <c r="P95" s="7">
        <f>IF(OR(N95="",O95=""),"",N95*O95)</f>
        <v/>
      </c>
      <c r="Q95" s="8">
        <f>IF(OR(N95="",K95=""),"",N95*(1-K95))</f>
        <v/>
      </c>
      <c r="R95" s="7">
        <f>IF(OR(Q95="",O95=""),"",Q95*O95)</f>
        <v/>
      </c>
      <c r="S95" s="7">
        <f>IF(OR(P95="",R95=""),"",P95-R95)</f>
        <v/>
      </c>
      <c r="T95" s="9" t="n"/>
      <c r="U95" s="9" t="n"/>
      <c r="V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4">
        <f>IF(COUNTA(E96:G96)&lt;3,"",E96*F96*G96)</f>
        <v/>
      </c>
      <c r="I96" s="4">
        <f>IF(H96="","",IF(H96&gt;=75,"Critical",IF(H96&gt;=40,"High",IF(H96&gt;=15,"Medium","Low"))))</f>
        <v/>
      </c>
      <c r="J96" s="9" t="n"/>
      <c r="K96" s="10" t="n"/>
      <c r="L96" s="4">
        <f>IF(OR(H96="",K96=""),"",ROUND(H96*(1-K96),0))</f>
        <v/>
      </c>
      <c r="M96" s="4">
        <f>IF(L96="","",IF(L96&gt;=75,"Critical",IF(L96&gt;=40,"High",IF(L96&gt;=15,"Medium","Low"))))</f>
        <v/>
      </c>
      <c r="N96" s="10" t="n"/>
      <c r="O96" s="11" t="n"/>
      <c r="P96" s="7">
        <f>IF(OR(N96="",O96=""),"",N96*O96)</f>
        <v/>
      </c>
      <c r="Q96" s="8">
        <f>IF(OR(N96="",K96=""),"",N96*(1-K96))</f>
        <v/>
      </c>
      <c r="R96" s="7">
        <f>IF(OR(Q96="",O96=""),"",Q96*O96)</f>
        <v/>
      </c>
      <c r="S96" s="7">
        <f>IF(OR(P96="",R96=""),"",P96-R96)</f>
        <v/>
      </c>
      <c r="T96" s="9" t="n"/>
      <c r="U96" s="9" t="n"/>
      <c r="V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4">
        <f>IF(COUNTA(E97:G97)&lt;3,"",E97*F97*G97)</f>
        <v/>
      </c>
      <c r="I97" s="4">
        <f>IF(H97="","",IF(H97&gt;=75,"Critical",IF(H97&gt;=40,"High",IF(H97&gt;=15,"Medium","Low"))))</f>
        <v/>
      </c>
      <c r="J97" s="9" t="n"/>
      <c r="K97" s="10" t="n"/>
      <c r="L97" s="4">
        <f>IF(OR(H97="",K97=""),"",ROUND(H97*(1-K97),0))</f>
        <v/>
      </c>
      <c r="M97" s="4">
        <f>IF(L97="","",IF(L97&gt;=75,"Critical",IF(L97&gt;=40,"High",IF(L97&gt;=15,"Medium","Low"))))</f>
        <v/>
      </c>
      <c r="N97" s="10" t="n"/>
      <c r="O97" s="11" t="n"/>
      <c r="P97" s="7">
        <f>IF(OR(N97="",O97=""),"",N97*O97)</f>
        <v/>
      </c>
      <c r="Q97" s="8">
        <f>IF(OR(N97="",K97=""),"",N97*(1-K97))</f>
        <v/>
      </c>
      <c r="R97" s="7">
        <f>IF(OR(Q97="",O97=""),"",Q97*O97)</f>
        <v/>
      </c>
      <c r="S97" s="7">
        <f>IF(OR(P97="",R97=""),"",P97-R97)</f>
        <v/>
      </c>
      <c r="T97" s="9" t="n"/>
      <c r="U97" s="9" t="n"/>
      <c r="V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4">
        <f>IF(COUNTA(E98:G98)&lt;3,"",E98*F98*G98)</f>
        <v/>
      </c>
      <c r="I98" s="4">
        <f>IF(H98="","",IF(H98&gt;=75,"Critical",IF(H98&gt;=40,"High",IF(H98&gt;=15,"Medium","Low"))))</f>
        <v/>
      </c>
      <c r="J98" s="9" t="n"/>
      <c r="K98" s="10" t="n"/>
      <c r="L98" s="4">
        <f>IF(OR(H98="",K98=""),"",ROUND(H98*(1-K98),0))</f>
        <v/>
      </c>
      <c r="M98" s="4">
        <f>IF(L98="","",IF(L98&gt;=75,"Critical",IF(L98&gt;=40,"High",IF(L98&gt;=15,"Medium","Low"))))</f>
        <v/>
      </c>
      <c r="N98" s="10" t="n"/>
      <c r="O98" s="11" t="n"/>
      <c r="P98" s="7">
        <f>IF(OR(N98="",O98=""),"",N98*O98)</f>
        <v/>
      </c>
      <c r="Q98" s="8">
        <f>IF(OR(N98="",K98=""),"",N98*(1-K98))</f>
        <v/>
      </c>
      <c r="R98" s="7">
        <f>IF(OR(Q98="",O98=""),"",Q98*O98)</f>
        <v/>
      </c>
      <c r="S98" s="7">
        <f>IF(OR(P98="",R98=""),"",P98-R98)</f>
        <v/>
      </c>
      <c r="T98" s="9" t="n"/>
      <c r="U98" s="9" t="n"/>
      <c r="V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4">
        <f>IF(COUNTA(E99:G99)&lt;3,"",E99*F99*G99)</f>
        <v/>
      </c>
      <c r="I99" s="4">
        <f>IF(H99="","",IF(H99&gt;=75,"Critical",IF(H99&gt;=40,"High",IF(H99&gt;=15,"Medium","Low"))))</f>
        <v/>
      </c>
      <c r="J99" s="9" t="n"/>
      <c r="K99" s="10" t="n"/>
      <c r="L99" s="4">
        <f>IF(OR(H99="",K99=""),"",ROUND(H99*(1-K99),0))</f>
        <v/>
      </c>
      <c r="M99" s="4">
        <f>IF(L99="","",IF(L99&gt;=75,"Critical",IF(L99&gt;=40,"High",IF(L99&gt;=15,"Medium","Low"))))</f>
        <v/>
      </c>
      <c r="N99" s="10" t="n"/>
      <c r="O99" s="11" t="n"/>
      <c r="P99" s="7">
        <f>IF(OR(N99="",O99=""),"",N99*O99)</f>
        <v/>
      </c>
      <c r="Q99" s="8">
        <f>IF(OR(N99="",K99=""),"",N99*(1-K99))</f>
        <v/>
      </c>
      <c r="R99" s="7">
        <f>IF(OR(Q99="",O99=""),"",Q99*O99)</f>
        <v/>
      </c>
      <c r="S99" s="7">
        <f>IF(OR(P99="",R99=""),"",P99-R99)</f>
        <v/>
      </c>
      <c r="T99" s="9" t="n"/>
      <c r="U99" s="9" t="n"/>
      <c r="V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4">
        <f>IF(COUNTA(E100:G100)&lt;3,"",E100*F100*G100)</f>
        <v/>
      </c>
      <c r="I100" s="4">
        <f>IF(H100="","",IF(H100&gt;=75,"Critical",IF(H100&gt;=40,"High",IF(H100&gt;=15,"Medium","Low"))))</f>
        <v/>
      </c>
      <c r="J100" s="9" t="n"/>
      <c r="K100" s="10" t="n"/>
      <c r="L100" s="4">
        <f>IF(OR(H100="",K100=""),"",ROUND(H100*(1-K100),0))</f>
        <v/>
      </c>
      <c r="M100" s="4">
        <f>IF(L100="","",IF(L100&gt;=75,"Critical",IF(L100&gt;=40,"High",IF(L100&gt;=15,"Medium","Low"))))</f>
        <v/>
      </c>
      <c r="N100" s="10" t="n"/>
      <c r="O100" s="11" t="n"/>
      <c r="P100" s="7">
        <f>IF(OR(N100="",O100=""),"",N100*O100)</f>
        <v/>
      </c>
      <c r="Q100" s="8">
        <f>IF(OR(N100="",K100=""),"",N100*(1-K100))</f>
        <v/>
      </c>
      <c r="R100" s="7">
        <f>IF(OR(Q100="",O100=""),"",Q100*O100)</f>
        <v/>
      </c>
      <c r="S100" s="7">
        <f>IF(OR(P100="",R100=""),"",P100-R100)</f>
        <v/>
      </c>
      <c r="T100" s="9" t="n"/>
      <c r="U100" s="9" t="n"/>
      <c r="V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4">
        <f>IF(COUNTA(E101:G101)&lt;3,"",E101*F101*G101)</f>
        <v/>
      </c>
      <c r="I101" s="4">
        <f>IF(H101="","",IF(H101&gt;=75,"Critical",IF(H101&gt;=40,"High",IF(H101&gt;=15,"Medium","Low"))))</f>
        <v/>
      </c>
      <c r="J101" s="9" t="n"/>
      <c r="K101" s="10" t="n"/>
      <c r="L101" s="4">
        <f>IF(OR(H101="",K101=""),"",ROUND(H101*(1-K101),0))</f>
        <v/>
      </c>
      <c r="M101" s="4">
        <f>IF(L101="","",IF(L101&gt;=75,"Critical",IF(L101&gt;=40,"High",IF(L101&gt;=15,"Medium","Low"))))</f>
        <v/>
      </c>
      <c r="N101" s="10" t="n"/>
      <c r="O101" s="11" t="n"/>
      <c r="P101" s="7">
        <f>IF(OR(N101="",O101=""),"",N101*O101)</f>
        <v/>
      </c>
      <c r="Q101" s="8">
        <f>IF(OR(N101="",K101=""),"",N101*(1-K101))</f>
        <v/>
      </c>
      <c r="R101" s="7">
        <f>IF(OR(Q101="",O101=""),"",Q101*O101)</f>
        <v/>
      </c>
      <c r="S101" s="7">
        <f>IF(OR(P101="",R101=""),"",P101-R101)</f>
        <v/>
      </c>
      <c r="T101" s="9" t="n"/>
      <c r="U101" s="9" t="n"/>
      <c r="V101" s="9" t="n"/>
    </row>
  </sheetData>
  <autoFilter ref="A1:V101"/>
  <conditionalFormatting sqref="I2:I101">
    <cfRule type="expression" priority="1" dxfId="0">
      <formula>I2="Critical"</formula>
    </cfRule>
    <cfRule type="expression" priority="2" dxfId="1">
      <formula>I2="High"</formula>
    </cfRule>
    <cfRule type="expression" priority="3" dxfId="2">
      <formula>I2="Medium"</formula>
    </cfRule>
  </conditionalFormatting>
  <conditionalFormatting sqref="M2:M101">
    <cfRule type="expression" priority="4" dxfId="0">
      <formula>M2="Critical"</formula>
    </cfRule>
    <cfRule type="expression" priority="5" dxfId="1">
      <formula>M2="High"</formula>
    </cfRule>
    <cfRule type="expression" priority="6" dxfId="2">
      <formula>M2="Medium"</formula>
    </cfRule>
  </conditionalFormatting>
  <dataValidations count="5">
    <dataValidation sqref="E2:E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F2:F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G2:G101" showDropDown="0" showInputMessage="0" showErrorMessage="1" allowBlank="1" errorTitle="Invalid value" error="Enter a value in allowed range" type="whole" operator="between">
      <formula1>1</formula1>
      <formula2>5</formula2>
    </dataValidation>
    <dataValidation sqref="K2:K101" showDropDown="0" showInputMessage="0" showErrorMessage="1" allowBlank="1" errorTitle="Invalid value" error="Enter a value in allowed range" type="decimal" operator="between">
      <formula1>0</formula1>
      <formula2>1</formula2>
    </dataValidation>
    <dataValidation sqref="N2:N101" showDropDown="0" showInputMessage="0" showErrorMessage="1" allowBlank="1" errorTitle="Invalid value" error="Enter a value in allowed range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70" customWidth="1" min="3" max="3"/>
    <col width="30" customWidth="1" min="4" max="4"/>
    <col width="43" customWidth="1" min="5" max="5"/>
    <col width="14" customWidth="1" min="6" max="6"/>
    <col width="14" customWidth="1" min="7" max="7"/>
    <col width="16" customWidth="1" min="8" max="8"/>
    <col width="20" customWidth="1" min="9" max="9"/>
    <col width="14" customWidth="1" min="10" max="10"/>
    <col width="14" customWidth="1" min="11" max="11"/>
  </cols>
  <sheetData>
    <row r="1" ht="34" customHeight="1">
      <c r="A1" s="1" t="inlineStr">
        <is>
          <t>Control ID</t>
        </is>
      </c>
      <c r="B1" s="1" t="inlineStr">
        <is>
          <t>CRA reference</t>
        </is>
      </c>
      <c r="C1" s="1" t="inlineStr">
        <is>
          <t>Requirement / checkpoint (summary, not legal text)</t>
        </is>
      </c>
      <c r="D1" s="1" t="inlineStr">
        <is>
          <t>Applicability</t>
        </is>
      </c>
      <c r="E1" s="1" t="inlineStr">
        <is>
          <t>Implementation approach</t>
        </is>
      </c>
      <c r="F1" s="1" t="inlineStr">
        <is>
          <t>Responsible</t>
        </is>
      </c>
      <c r="G1" s="1" t="inlineStr">
        <is>
          <t>Status</t>
        </is>
      </c>
      <c r="H1" s="1" t="inlineStr">
        <is>
          <t>Evidence link</t>
        </is>
      </c>
      <c r="I1" s="1" t="inlineStr">
        <is>
          <t>Verification date</t>
        </is>
      </c>
      <c r="J1" s="1" t="inlineStr">
        <is>
          <t>Reviewer</t>
        </is>
      </c>
      <c r="K1" s="1" t="inlineStr">
        <is>
          <t>Notes / gap</t>
        </is>
      </c>
    </row>
    <row r="2" ht="31" customHeight="1">
      <c r="A2" s="2" t="inlineStr">
        <is>
          <t>G01</t>
        </is>
      </c>
      <c r="B2" s="2" t="inlineStr">
        <is>
          <t>Articles 3, 13, 32; Annexes III-IV</t>
        </is>
      </c>
      <c r="C2" s="2" t="inlineStr">
        <is>
          <t>Document product scope, exceptions, class and conformity assessment route</t>
        </is>
      </c>
      <c r="D2" s="2" t="inlineStr">
        <is>
          <t>Review per product</t>
        </is>
      </c>
      <c r="E2" s="2" t="inlineStr">
        <is>
          <t>Product classification memo</t>
        </is>
      </c>
      <c r="F2" s="2" t="inlineStr">
        <is>
          <t>Unassigned</t>
        </is>
      </c>
      <c r="G2" s="2" t="inlineStr">
        <is>
          <t>Not started</t>
        </is>
      </c>
      <c r="H2" s="2" t="inlineStr"/>
      <c r="I2" s="2" t="inlineStr"/>
      <c r="J2" s="2" t="inlineStr"/>
      <c r="K2" s="2" t="inlineStr"/>
    </row>
    <row r="3" ht="31" customHeight="1">
      <c r="A3" s="2" t="inlineStr">
        <is>
          <t>P01</t>
        </is>
      </c>
      <c r="B3" s="2" t="inlineStr">
        <is>
          <t>Annex I Part I (1)</t>
        </is>
      </c>
      <c r="C3" s="2" t="inlineStr">
        <is>
          <t>Cybersecurity level appropriate to risks and secure-by-default design</t>
        </is>
      </c>
      <c r="D3" s="2" t="inlineStr">
        <is>
          <t>Review per product</t>
        </is>
      </c>
      <c r="E3" s="2" t="inlineStr">
        <is>
          <t>Threat model + hardened baseline</t>
        </is>
      </c>
      <c r="F3" s="2" t="inlineStr">
        <is>
          <t>Unassigned</t>
        </is>
      </c>
      <c r="G3" s="2" t="inlineStr">
        <is>
          <t>Not started</t>
        </is>
      </c>
      <c r="H3" s="2" t="inlineStr"/>
      <c r="I3" s="2" t="inlineStr"/>
      <c r="J3" s="2" t="inlineStr"/>
      <c r="K3" s="2" t="inlineStr"/>
    </row>
    <row r="4" ht="31" customHeight="1">
      <c r="A4" s="2" t="inlineStr">
        <is>
          <t>P02</t>
        </is>
      </c>
      <c r="B4" s="2" t="inlineStr">
        <is>
          <t>Annex I Part I (2)(a)-(b)</t>
        </is>
      </c>
      <c r="C4" s="2" t="inlineStr">
        <is>
          <t>No known exploitable vulnerabilities at placing on market; secure defaults</t>
        </is>
      </c>
      <c r="D4" s="2" t="inlineStr">
        <is>
          <t>Review per product</t>
        </is>
      </c>
      <c r="E4" s="2" t="inlineStr">
        <is>
          <t>Release security gate + configuration tests</t>
        </is>
      </c>
      <c r="F4" s="2" t="inlineStr">
        <is>
          <t>Unassigned</t>
        </is>
      </c>
      <c r="G4" s="2" t="inlineStr">
        <is>
          <t>Not started</t>
        </is>
      </c>
      <c r="H4" s="2" t="inlineStr"/>
      <c r="I4" s="2" t="inlineStr"/>
      <c r="J4" s="2" t="inlineStr"/>
      <c r="K4" s="2" t="inlineStr"/>
    </row>
    <row r="5" ht="31" customHeight="1">
      <c r="A5" s="2" t="inlineStr">
        <is>
          <t>P03</t>
        </is>
      </c>
      <c r="B5" s="2" t="inlineStr">
        <is>
          <t>Annex I Part I (2)(c)-(g)</t>
        </is>
      </c>
      <c r="C5" s="2" t="inlineStr">
        <is>
          <t>Protect against unauthorized access, confidentiality and integrity threats</t>
        </is>
      </c>
      <c r="D5" s="2" t="inlineStr">
        <is>
          <t>Risk based</t>
        </is>
      </c>
      <c r="E5" s="2" t="inlineStr">
        <is>
          <t>Authorization tests; encryption; integrity checks</t>
        </is>
      </c>
      <c r="F5" s="2" t="inlineStr">
        <is>
          <t>Unassigned</t>
        </is>
      </c>
      <c r="G5" s="2" t="inlineStr">
        <is>
          <t>Not started</t>
        </is>
      </c>
      <c r="H5" s="2" t="inlineStr"/>
      <c r="I5" s="2" t="inlineStr"/>
      <c r="J5" s="2" t="inlineStr"/>
      <c r="K5" s="2" t="inlineStr"/>
    </row>
    <row r="6" ht="31" customHeight="1">
      <c r="A6" s="2" t="inlineStr">
        <is>
          <t>P04</t>
        </is>
      </c>
      <c r="B6" s="2" t="inlineStr">
        <is>
          <t>Annex I Part I (2)(h)-(m)</t>
        </is>
      </c>
      <c r="C6" s="2" t="inlineStr">
        <is>
          <t>Availability, attack surface, incident impact, security logging and secure updates</t>
        </is>
      </c>
      <c r="D6" s="2" t="inlineStr">
        <is>
          <t>Risk based</t>
        </is>
      </c>
      <c r="E6" s="2" t="inlineStr">
        <is>
          <t>Design and verification records</t>
        </is>
      </c>
      <c r="F6" s="2" t="inlineStr">
        <is>
          <t>Unassigned</t>
        </is>
      </c>
      <c r="G6" s="2" t="inlineStr">
        <is>
          <t>Not started</t>
        </is>
      </c>
      <c r="H6" s="2" t="inlineStr"/>
      <c r="I6" s="2" t="inlineStr"/>
      <c r="J6" s="2" t="inlineStr"/>
      <c r="K6" s="2" t="inlineStr"/>
    </row>
    <row r="7" ht="31" customHeight="1">
      <c r="A7" s="2" t="inlineStr">
        <is>
          <t>V01</t>
        </is>
      </c>
      <c r="B7" s="2" t="inlineStr">
        <is>
          <t>Annex I Part II (1)</t>
        </is>
      </c>
      <c r="C7" s="2" t="inlineStr">
        <is>
          <t>Identify and document vulnerabilities and components including SBOM</t>
        </is>
      </c>
      <c r="D7" s="2" t="inlineStr">
        <is>
          <t>Applicable</t>
        </is>
      </c>
      <c r="E7" s="2" t="inlineStr">
        <is>
          <t>Component inventory; SBOM</t>
        </is>
      </c>
      <c r="F7" s="2" t="inlineStr">
        <is>
          <t>Unassigned</t>
        </is>
      </c>
      <c r="G7" s="2" t="inlineStr">
        <is>
          <t>Not started</t>
        </is>
      </c>
      <c r="H7" s="2" t="inlineStr"/>
      <c r="I7" s="2" t="inlineStr"/>
      <c r="J7" s="2" t="inlineStr"/>
      <c r="K7" s="2" t="inlineStr"/>
    </row>
    <row r="8" ht="31" customHeight="1">
      <c r="A8" s="2" t="inlineStr">
        <is>
          <t>V02</t>
        </is>
      </c>
      <c r="B8" s="2" t="inlineStr">
        <is>
          <t>Annex I Part II (2)-(4)</t>
        </is>
      </c>
      <c r="C8" s="2" t="inlineStr">
        <is>
          <t>Address vulnerabilities without delay; security testing and prompt updates</t>
        </is>
      </c>
      <c r="D8" s="2" t="inlineStr">
        <is>
          <t>Applicable</t>
        </is>
      </c>
      <c r="E8" s="2" t="inlineStr">
        <is>
          <t>Triage log; test and patch evidence</t>
        </is>
      </c>
      <c r="F8" s="2" t="inlineStr">
        <is>
          <t>Unassigned</t>
        </is>
      </c>
      <c r="G8" s="2" t="inlineStr">
        <is>
          <t>Not started</t>
        </is>
      </c>
      <c r="H8" s="2" t="inlineStr"/>
      <c r="I8" s="2" t="inlineStr"/>
      <c r="J8" s="2" t="inlineStr"/>
      <c r="K8" s="2" t="inlineStr"/>
    </row>
    <row r="9" ht="31" customHeight="1">
      <c r="A9" s="2" t="inlineStr">
        <is>
          <t>V03</t>
        </is>
      </c>
      <c r="B9" s="2" t="inlineStr">
        <is>
          <t>Annex I Part II (5)-(8)</t>
        </is>
      </c>
      <c r="C9" s="2" t="inlineStr">
        <is>
          <t>Coordinated disclosure, contact, secure distribution, public advisory</t>
        </is>
      </c>
      <c r="D9" s="2" t="inlineStr">
        <is>
          <t>Applicable</t>
        </is>
      </c>
      <c r="E9" s="2" t="inlineStr">
        <is>
          <t>CVD policy; advisories</t>
        </is>
      </c>
      <c r="F9" s="2" t="inlineStr">
        <is>
          <t>Unassigned</t>
        </is>
      </c>
      <c r="G9" s="2" t="inlineStr">
        <is>
          <t>Not started</t>
        </is>
      </c>
      <c r="H9" s="2" t="inlineStr"/>
      <c r="I9" s="2" t="inlineStr"/>
      <c r="J9" s="2" t="inlineStr"/>
      <c r="K9" s="2" t="inlineStr"/>
    </row>
    <row r="10" ht="31" customHeight="1">
      <c r="A10" s="2" t="inlineStr">
        <is>
          <t>R01</t>
        </is>
      </c>
      <c r="B10" s="2" t="inlineStr">
        <is>
          <t>Article 14</t>
        </is>
      </c>
      <c r="C10" s="2" t="inlineStr">
        <is>
          <t>Report actively exploited vulnerabilities and severe incidents when criteria met</t>
        </is>
      </c>
      <c r="D10" s="2" t="inlineStr">
        <is>
          <t>Applicable since 2026-09-11</t>
        </is>
      </c>
      <c r="E10" s="2" t="inlineStr">
        <is>
          <t>Reporting procedure + timestamps</t>
        </is>
      </c>
      <c r="F10" s="2" t="inlineStr">
        <is>
          <t>Unassigned</t>
        </is>
      </c>
      <c r="G10" s="2" t="inlineStr">
        <is>
          <t>Not started</t>
        </is>
      </c>
      <c r="H10" s="2" t="inlineStr"/>
      <c r="I10" s="2" t="inlineStr"/>
      <c r="J10" s="2" t="inlineStr"/>
      <c r="K10" s="2" t="inlineStr"/>
    </row>
    <row r="11" ht="31" customHeight="1">
      <c r="A11" s="2" t="inlineStr">
        <is>
          <t>M01</t>
        </is>
      </c>
      <c r="B11" s="2" t="inlineStr">
        <is>
          <t>Article 13(3)-(4)</t>
        </is>
      </c>
      <c r="C11" s="2" t="inlineStr">
        <is>
          <t>Document and update cybersecurity risk assessment</t>
        </is>
      </c>
      <c r="D11" s="2" t="inlineStr">
        <is>
          <t>Applicable as required</t>
        </is>
      </c>
      <c r="E11" s="2" t="inlineStr">
        <is>
          <t>Risk Register and decisions</t>
        </is>
      </c>
      <c r="F11" s="2" t="inlineStr">
        <is>
          <t>Unassigned</t>
        </is>
      </c>
      <c r="G11" s="2" t="inlineStr">
        <is>
          <t>Not started</t>
        </is>
      </c>
      <c r="H11" s="2" t="inlineStr"/>
      <c r="I11" s="2" t="inlineStr"/>
      <c r="J11" s="2" t="inlineStr"/>
      <c r="K11" s="2" t="inlineStr"/>
    </row>
    <row r="12" ht="31" customHeight="1">
      <c r="A12" s="2" t="inlineStr">
        <is>
          <t>S01</t>
        </is>
      </c>
      <c r="B12" s="2" t="inlineStr">
        <is>
          <t>Article 13(8)</t>
        </is>
      </c>
      <c r="C12" s="2" t="inlineStr">
        <is>
          <t>Define and justify support period</t>
        </is>
      </c>
      <c r="D12" s="2" t="inlineStr">
        <is>
          <t>Applicable</t>
        </is>
      </c>
      <c r="E12" s="2" t="inlineStr">
        <is>
          <t>Lifecycle support plan</t>
        </is>
      </c>
      <c r="F12" s="2" t="inlineStr">
        <is>
          <t>Unassigned</t>
        </is>
      </c>
      <c r="G12" s="2" t="inlineStr">
        <is>
          <t>Not started</t>
        </is>
      </c>
      <c r="H12" s="2" t="inlineStr"/>
      <c r="I12" s="2" t="inlineStr"/>
      <c r="J12" s="2" t="inlineStr"/>
      <c r="K12" s="2" t="inlineStr"/>
    </row>
    <row r="13" ht="31" customHeight="1">
      <c r="A13" s="2" t="inlineStr">
        <is>
          <t>D01</t>
        </is>
      </c>
      <c r="B13" s="2" t="inlineStr">
        <is>
          <t>Annex II</t>
        </is>
      </c>
      <c r="C13" s="2" t="inlineStr">
        <is>
          <t>Supply information and secure-use instructions</t>
        </is>
      </c>
      <c r="D13" s="2" t="inlineStr">
        <is>
          <t>Applicable</t>
        </is>
      </c>
      <c r="E13" s="2" t="inlineStr">
        <is>
          <t>Instructions manual</t>
        </is>
      </c>
      <c r="F13" s="2" t="inlineStr">
        <is>
          <t>Unassigned</t>
        </is>
      </c>
      <c r="G13" s="2" t="inlineStr">
        <is>
          <t>Not started</t>
        </is>
      </c>
      <c r="H13" s="2" t="inlineStr"/>
      <c r="I13" s="2" t="inlineStr"/>
      <c r="J13" s="2" t="inlineStr"/>
      <c r="K13" s="2" t="inlineStr"/>
    </row>
    <row r="14" ht="31" customHeight="1">
      <c r="A14" s="2" t="inlineStr">
        <is>
          <t>D02</t>
        </is>
      </c>
      <c r="B14" s="2" t="inlineStr">
        <is>
          <t>Articles 31-32; Annex VII</t>
        </is>
      </c>
      <c r="C14" s="2" t="inlineStr">
        <is>
          <t>Maintain technical documentation and conformity assessment evidence</t>
        </is>
      </c>
      <c r="D14" s="2" t="inlineStr">
        <is>
          <t>Applicable</t>
        </is>
      </c>
      <c r="E14" s="2" t="inlineStr">
        <is>
          <t>Technical file index</t>
        </is>
      </c>
      <c r="F14" s="2" t="inlineStr">
        <is>
          <t>Unassigned</t>
        </is>
      </c>
      <c r="G14" s="2" t="inlineStr">
        <is>
          <t>Not started</t>
        </is>
      </c>
      <c r="H14" s="2" t="inlineStr"/>
      <c r="I14" s="2" t="inlineStr"/>
      <c r="J14" s="2" t="inlineStr"/>
      <c r="K14" s="2" t="inlineStr"/>
    </row>
    <row r="15" ht="31" customHeight="1">
      <c r="A15" s="2" t="inlineStr">
        <is>
          <t>D03</t>
        </is>
      </c>
      <c r="B15" s="2" t="inlineStr">
        <is>
          <t>Article 28; Annex V</t>
        </is>
      </c>
      <c r="C15" s="2" t="inlineStr">
        <is>
          <t>Prepare EU declaration of conformity as applicable</t>
        </is>
      </c>
      <c r="D15" s="2" t="inlineStr">
        <is>
          <t>Applicable</t>
        </is>
      </c>
      <c r="E15" s="2" t="inlineStr">
        <is>
          <t>Conformity records / signed declaration</t>
        </is>
      </c>
      <c r="F15" s="2" t="inlineStr">
        <is>
          <t>Unassigned</t>
        </is>
      </c>
      <c r="G15" s="2" t="inlineStr">
        <is>
          <t>Not started</t>
        </is>
      </c>
      <c r="H15" s="2" t="inlineStr"/>
      <c r="I15" s="2" t="inlineStr"/>
      <c r="J15" s="2" t="inlineStr"/>
      <c r="K15" s="2" t="inlineStr"/>
    </row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5" customWidth="1" min="3" max="3"/>
    <col width="17" customWidth="1" min="4" max="4"/>
    <col width="21" customWidth="1" min="5" max="5"/>
  </cols>
  <sheetData>
    <row r="1" ht="34" customHeight="1">
      <c r="A1" s="1" t="inlineStr">
        <is>
          <t>Domain</t>
        </is>
      </c>
      <c r="B1" s="1" t="inlineStr">
        <is>
          <t>Weight</t>
        </is>
      </c>
      <c r="C1" s="1" t="inlineStr">
        <is>
          <t>Maturity 0-4</t>
        </is>
      </c>
      <c r="D1" s="1" t="inlineStr">
        <is>
          <t>Weighted score</t>
        </is>
      </c>
      <c r="E1" s="1" t="inlineStr">
        <is>
          <t>Evidence / comment</t>
        </is>
      </c>
    </row>
    <row r="2" ht="31" customHeight="1">
      <c r="A2" s="3" t="inlineStr">
        <is>
          <t>Applicability &amp; classification</t>
        </is>
      </c>
      <c r="B2" s="12" t="n">
        <v>0.1</v>
      </c>
      <c r="C2" s="3" t="n">
        <v>0</v>
      </c>
      <c r="D2" s="13">
        <f>B2*C2/4</f>
        <v/>
      </c>
      <c r="E2" s="3" t="inlineStr"/>
    </row>
    <row r="3" ht="31" customHeight="1">
      <c r="A3" s="3" t="inlineStr">
        <is>
          <t>Risk assessment</t>
        </is>
      </c>
      <c r="B3" s="12" t="n">
        <v>0.2</v>
      </c>
      <c r="C3" s="3" t="n">
        <v>0</v>
      </c>
      <c r="D3" s="13">
        <f>B3*C3/4</f>
        <v/>
      </c>
      <c r="E3" s="3" t="inlineStr"/>
    </row>
    <row r="4" ht="31" customHeight="1">
      <c r="A4" s="3" t="inlineStr">
        <is>
          <t>Product security controls</t>
        </is>
      </c>
      <c r="B4" s="12" t="n">
        <v>0.2</v>
      </c>
      <c r="C4" s="3" t="n">
        <v>0</v>
      </c>
      <c r="D4" s="13">
        <f>B4*C4/4</f>
        <v/>
      </c>
      <c r="E4" s="3" t="inlineStr"/>
    </row>
    <row r="5" ht="31" customHeight="1">
      <c r="A5" s="3" t="inlineStr">
        <is>
          <t>SBOM and supply chain</t>
        </is>
      </c>
      <c r="B5" s="12" t="n">
        <v>0.15</v>
      </c>
      <c r="C5" s="3" t="n">
        <v>0</v>
      </c>
      <c r="D5" s="13">
        <f>B5*C5/4</f>
        <v/>
      </c>
      <c r="E5" s="3" t="inlineStr"/>
    </row>
    <row r="6" ht="31" customHeight="1">
      <c r="A6" s="3" t="inlineStr">
        <is>
          <t>Vulnerability handling and reporting</t>
        </is>
      </c>
      <c r="B6" s="12" t="n">
        <v>0.2</v>
      </c>
      <c r="C6" s="3" t="n">
        <v>0</v>
      </c>
      <c r="D6" s="13">
        <f>B6*C6/4</f>
        <v/>
      </c>
      <c r="E6" s="3" t="inlineStr"/>
    </row>
    <row r="7" ht="31" customHeight="1">
      <c r="A7" s="3" t="inlineStr">
        <is>
          <t>Documentation and assessment</t>
        </is>
      </c>
      <c r="B7" s="12" t="n">
        <v>0.15</v>
      </c>
      <c r="C7" s="3" t="n">
        <v>0</v>
      </c>
      <c r="D7" s="13">
        <f>B7*C7/4</f>
        <v/>
      </c>
      <c r="E7" s="3" t="inlineStr"/>
    </row>
    <row r="8" ht="31" customHeight="1">
      <c r="A8" s="9" t="n"/>
      <c r="B8" s="9" t="n"/>
      <c r="C8" s="9" t="n"/>
      <c r="D8" s="9" t="n"/>
      <c r="E8" s="9" t="n"/>
    </row>
    <row r="9" ht="31" customHeight="1">
      <c r="A9" s="3" t="inlineStr">
        <is>
          <t>Weighted maturity</t>
        </is>
      </c>
      <c r="B9" s="9" t="n"/>
      <c r="C9" s="9" t="n"/>
      <c r="D9" s="13">
        <f>SUM(D2:D7)</f>
        <v/>
      </c>
      <c r="E9" s="9" t="n"/>
    </row>
    <row r="10" ht="31" customHeight="1">
      <c r="A10" s="9" t="n"/>
      <c r="B10" s="9" t="n"/>
      <c r="C10" s="9" t="n"/>
      <c r="D10" s="9" t="n"/>
      <c r="E10" s="9" t="n"/>
    </row>
    <row r="11" ht="31" customHeight="1">
      <c r="A11" s="3" t="inlineStr">
        <is>
          <t>Maturity is a management indicator only; cannot certify CRA conformity.</t>
        </is>
      </c>
      <c r="B11" s="9" t="n"/>
      <c r="C11" s="9" t="n"/>
      <c r="D11" s="9" t="n"/>
      <c r="E11" s="9" t="n"/>
    </row>
  </sheetData>
  <dataValidations count="1">
    <dataValidation sqref="C2:C7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2026-10-17T08:51:04Z</dcterms:created>
  <dcterms:modified xmlns:dcterms="http://purl.org/dc/terms/" xmlns:xsi="http://www.w3.org/2001/XMLSchema-instance" xsi:type="dcterms:W3CDTF">2026-10-17T08:51:04Z</dcterms:modified>
</cp:coreProperties>
</file>